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2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3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drawings/drawing4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3 TRABAJO\Feedlot Holando\"/>
    </mc:Choice>
  </mc:AlternateContent>
  <xr:revisionPtr revIDLastSave="0" documentId="13_ncr:1_{D4D68345-9C10-422D-86EC-C769264CC9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ia" sheetId="6" r:id="rId1"/>
    <sheet name="Recria" sheetId="8" r:id="rId2"/>
    <sheet name="Engorde a corral" sheetId="1" r:id="rId3"/>
    <sheet name="Terminacion exportacion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8" l="1"/>
  <c r="S12" i="8"/>
  <c r="S10" i="8"/>
  <c r="G4" i="8"/>
  <c r="D17" i="8"/>
  <c r="D16" i="8"/>
  <c r="G6" i="6"/>
  <c r="C10" i="6"/>
  <c r="P13" i="8"/>
  <c r="D16" i="6"/>
  <c r="H15" i="6"/>
  <c r="P10" i="8"/>
  <c r="H8" i="8"/>
  <c r="G8" i="8"/>
  <c r="C4" i="7" l="1"/>
  <c r="C4" i="1"/>
  <c r="H9" i="6"/>
  <c r="H9" i="1" l="1"/>
  <c r="H9" i="8"/>
  <c r="C7" i="1"/>
  <c r="E17" i="7"/>
  <c r="C10" i="1" l="1"/>
  <c r="C4" i="8"/>
  <c r="G9" i="6"/>
  <c r="H9" i="7"/>
  <c r="G9" i="7" s="1"/>
  <c r="H6" i="6"/>
  <c r="G9" i="8"/>
  <c r="C20" i="7"/>
  <c r="G9" i="1"/>
  <c r="C17" i="8"/>
  <c r="C20" i="8" s="1"/>
  <c r="C19" i="6"/>
  <c r="C15" i="6"/>
  <c r="G4" i="7"/>
  <c r="H4" i="7" s="1"/>
  <c r="C19" i="7"/>
  <c r="J19" i="7"/>
  <c r="K19" i="7" s="1"/>
  <c r="C18" i="7"/>
  <c r="J17" i="7"/>
  <c r="K17" i="7" s="1"/>
  <c r="C17" i="7"/>
  <c r="F15" i="6"/>
  <c r="C19" i="8"/>
  <c r="J17" i="8"/>
  <c r="K17" i="8" s="1"/>
  <c r="C16" i="8"/>
  <c r="J15" i="8"/>
  <c r="J20" i="8" s="1"/>
  <c r="C15" i="8"/>
  <c r="K8" i="8"/>
  <c r="C7" i="8"/>
  <c r="C21" i="7"/>
  <c r="J16" i="7"/>
  <c r="K16" i="7" s="1"/>
  <c r="C16" i="7"/>
  <c r="K8" i="7"/>
  <c r="G7" i="7"/>
  <c r="C8" i="7"/>
  <c r="H8" i="7" s="1"/>
  <c r="C6" i="7"/>
  <c r="D19" i="7" s="1"/>
  <c r="F19" i="7" s="1"/>
  <c r="G19" i="7" s="1"/>
  <c r="C17" i="6"/>
  <c r="J17" i="6"/>
  <c r="K17" i="6" s="1"/>
  <c r="C16" i="6"/>
  <c r="J15" i="6"/>
  <c r="K15" i="6" s="1"/>
  <c r="C10" i="8"/>
  <c r="K8" i="6"/>
  <c r="G7" i="6"/>
  <c r="C7" i="6"/>
  <c r="C8" i="6" s="1"/>
  <c r="C6" i="6"/>
  <c r="C19" i="1"/>
  <c r="F17" i="6"/>
  <c r="J17" i="1"/>
  <c r="K17" i="1" s="1"/>
  <c r="C17" i="1"/>
  <c r="C16" i="1"/>
  <c r="J15" i="1"/>
  <c r="J20" i="1" s="1"/>
  <c r="C15" i="1"/>
  <c r="G4" i="1"/>
  <c r="K8" i="1"/>
  <c r="G7" i="1"/>
  <c r="G7" i="8"/>
  <c r="K15" i="8"/>
  <c r="C20" i="1"/>
  <c r="H8" i="6" l="1"/>
  <c r="G8" i="6"/>
  <c r="D21" i="7"/>
  <c r="F21" i="7" s="1"/>
  <c r="G21" i="7" s="1"/>
  <c r="D15" i="7"/>
  <c r="F15" i="7" s="1"/>
  <c r="G15" i="7" s="1"/>
  <c r="D20" i="7"/>
  <c r="D16" i="7"/>
  <c r="F16" i="7" s="1"/>
  <c r="G16" i="7" s="1"/>
  <c r="D17" i="7"/>
  <c r="D18" i="6"/>
  <c r="H18" i="6" s="1"/>
  <c r="H16" i="6"/>
  <c r="H17" i="7"/>
  <c r="F17" i="7"/>
  <c r="G17" i="7" s="1"/>
  <c r="C22" i="7"/>
  <c r="C20" i="6"/>
  <c r="D18" i="7"/>
  <c r="F18" i="7" s="1"/>
  <c r="J22" i="7"/>
  <c r="R11" i="8"/>
  <c r="C8" i="1"/>
  <c r="H8" i="1" s="1"/>
  <c r="C6" i="1"/>
  <c r="D19" i="1" s="1"/>
  <c r="G6" i="1"/>
  <c r="C10" i="7"/>
  <c r="G6" i="7" s="1"/>
  <c r="H6" i="7" s="1"/>
  <c r="C8" i="8"/>
  <c r="C6" i="8"/>
  <c r="G6" i="8"/>
  <c r="G4" i="6"/>
  <c r="D19" i="6"/>
  <c r="H19" i="6" s="1"/>
  <c r="H17" i="6"/>
  <c r="G15" i="6"/>
  <c r="G17" i="6"/>
  <c r="G8" i="7"/>
  <c r="H4" i="8"/>
  <c r="P11" i="8"/>
  <c r="H19" i="7"/>
  <c r="H16" i="7"/>
  <c r="H4" i="1"/>
  <c r="J20" i="6"/>
  <c r="K15" i="1"/>
  <c r="H20" i="7" l="1"/>
  <c r="F20" i="7"/>
  <c r="H18" i="7"/>
  <c r="H22" i="7" s="1"/>
  <c r="D22" i="7"/>
  <c r="J23" i="7" s="1"/>
  <c r="H21" i="7"/>
  <c r="H15" i="7"/>
  <c r="G18" i="7"/>
  <c r="H20" i="6"/>
  <c r="F18" i="6"/>
  <c r="G18" i="6" s="1"/>
  <c r="F16" i="6"/>
  <c r="F19" i="6"/>
  <c r="G19" i="6" s="1"/>
  <c r="H6" i="8"/>
  <c r="H6" i="1"/>
  <c r="G8" i="1"/>
  <c r="H19" i="1"/>
  <c r="D16" i="1"/>
  <c r="H16" i="1" s="1"/>
  <c r="D15" i="1"/>
  <c r="D17" i="1"/>
  <c r="H17" i="1" s="1"/>
  <c r="F19" i="1"/>
  <c r="G19" i="1" s="1"/>
  <c r="D18" i="1"/>
  <c r="H18" i="1" s="1"/>
  <c r="S11" i="8"/>
  <c r="D19" i="8"/>
  <c r="D18" i="8"/>
  <c r="D15" i="8"/>
  <c r="P12" i="8"/>
  <c r="H4" i="6"/>
  <c r="D20" i="6"/>
  <c r="J21" i="6" s="1"/>
  <c r="G16" i="6"/>
  <c r="G20" i="7" l="1"/>
  <c r="F22" i="7"/>
  <c r="F20" i="6"/>
  <c r="G20" i="6" s="1"/>
  <c r="F18" i="1"/>
  <c r="G18" i="1" s="1"/>
  <c r="F16" i="1"/>
  <c r="G16" i="1" s="1"/>
  <c r="D20" i="1"/>
  <c r="J21" i="1" s="1"/>
  <c r="H15" i="1"/>
  <c r="H20" i="1" s="1"/>
  <c r="H21" i="1" s="1"/>
  <c r="F15" i="1"/>
  <c r="G15" i="1" s="1"/>
  <c r="F17" i="1"/>
  <c r="G17" i="1" s="1"/>
  <c r="H16" i="8"/>
  <c r="F16" i="8"/>
  <c r="G16" i="8" s="1"/>
  <c r="F17" i="8"/>
  <c r="G17" i="8" s="1"/>
  <c r="H17" i="8"/>
  <c r="D20" i="8"/>
  <c r="J21" i="8" s="1"/>
  <c r="F15" i="8"/>
  <c r="H15" i="8"/>
  <c r="F18" i="8"/>
  <c r="G18" i="8" s="1"/>
  <c r="H18" i="8"/>
  <c r="F19" i="8"/>
  <c r="G19" i="8" s="1"/>
  <c r="H19" i="8"/>
  <c r="G5" i="7" l="1"/>
  <c r="G22" i="7"/>
  <c r="G5" i="6"/>
  <c r="H5" i="6" s="1"/>
  <c r="F20" i="1"/>
  <c r="G20" i="1" s="1"/>
  <c r="F20" i="8"/>
  <c r="G15" i="8"/>
  <c r="H20" i="8"/>
  <c r="H21" i="8" s="1"/>
  <c r="G10" i="7" l="1"/>
  <c r="H10" i="7" s="1"/>
  <c r="H11" i="7" s="1"/>
  <c r="H5" i="7"/>
  <c r="G10" i="6"/>
  <c r="N10" i="8" s="1"/>
  <c r="O10" i="8"/>
  <c r="G5" i="1"/>
  <c r="G20" i="8"/>
  <c r="G5" i="8"/>
  <c r="L10" i="8" s="1"/>
  <c r="H10" i="6" l="1"/>
  <c r="H11" i="6" s="1"/>
  <c r="H5" i="1"/>
  <c r="L10" i="1"/>
  <c r="G10" i="1"/>
  <c r="H10" i="1" s="1"/>
  <c r="H11" i="1" s="1"/>
  <c r="O11" i="8"/>
  <c r="O12" i="8" s="1"/>
  <c r="G10" i="8"/>
  <c r="H10" i="8" s="1"/>
  <c r="H11" i="8" s="1"/>
  <c r="H5" i="8"/>
  <c r="M10" i="1" l="1"/>
  <c r="N11" i="8"/>
  <c r="N12" i="8" s="1"/>
  <c r="N13" i="8" s="1"/>
  <c r="N14" i="8" s="1"/>
</calcChain>
</file>

<file path=xl/sharedStrings.xml><?xml version="1.0" encoding="utf-8"?>
<sst xmlns="http://schemas.openxmlformats.org/spreadsheetml/2006/main" count="145" uniqueCount="54">
  <si>
    <t>ENGORDE DE TERNEROS HOLANDO</t>
  </si>
  <si>
    <t>N° Animales</t>
  </si>
  <si>
    <t>$/Ternero</t>
  </si>
  <si>
    <t>$ Totales</t>
  </si>
  <si>
    <t>Peso Entrada</t>
  </si>
  <si>
    <t>Ingreso</t>
  </si>
  <si>
    <t>Peso Salida</t>
  </si>
  <si>
    <t>Gastos Comida</t>
  </si>
  <si>
    <t>Peso Promedio</t>
  </si>
  <si>
    <t>Gastos Hacienda</t>
  </si>
  <si>
    <t>Ganancia Diaria</t>
  </si>
  <si>
    <t>Reparto Comida</t>
  </si>
  <si>
    <t>Dias Encierre</t>
  </si>
  <si>
    <t>Personal</t>
  </si>
  <si>
    <t>Consumo M.S (%PV)</t>
  </si>
  <si>
    <t>Margen</t>
  </si>
  <si>
    <t>Rentabilidad por período</t>
  </si>
  <si>
    <t>Kg/Día</t>
  </si>
  <si>
    <t>$/Ton</t>
  </si>
  <si>
    <t>$/Día</t>
  </si>
  <si>
    <t>$/Totales</t>
  </si>
  <si>
    <t>Kg Totales</t>
  </si>
  <si>
    <t>Maíz</t>
  </si>
  <si>
    <t>Nucleo</t>
  </si>
  <si>
    <t>Total</t>
  </si>
  <si>
    <t>Mortandad</t>
  </si>
  <si>
    <t>Sanidad</t>
  </si>
  <si>
    <t>Nucleo Mineral</t>
  </si>
  <si>
    <t>Rollo Alfalfa</t>
  </si>
  <si>
    <t>Urea</t>
  </si>
  <si>
    <t>Alimento</t>
  </si>
  <si>
    <t>%</t>
  </si>
  <si>
    <t>ENGORDE DE TERNEROS HOLANDO (dieta 2)</t>
  </si>
  <si>
    <t>Precio Neto Salida</t>
  </si>
  <si>
    <t>Precio Neto Entrada</t>
  </si>
  <si>
    <t>Iniciador</t>
  </si>
  <si>
    <t>ENGORDE DE NOVILLO HOLANDO</t>
  </si>
  <si>
    <t>Silo Sorgo</t>
  </si>
  <si>
    <t>Alfalfa</t>
  </si>
  <si>
    <t>Rollos Alfalfa</t>
  </si>
  <si>
    <t>Recría</t>
  </si>
  <si>
    <t>MB</t>
  </si>
  <si>
    <t>GD</t>
  </si>
  <si>
    <t>Consolidado</t>
  </si>
  <si>
    <t>Leche</t>
  </si>
  <si>
    <t>Se podría hacer con parte de leche descarte y bajar este costo</t>
  </si>
  <si>
    <t>ENGORDE DE TERNEROS HOLANDO (Etapa crianza)</t>
  </si>
  <si>
    <t>Crianza</t>
  </si>
  <si>
    <t>Rollos Gramineas</t>
  </si>
  <si>
    <t>Balanceado Novillo</t>
  </si>
  <si>
    <t>Balanceado recria</t>
  </si>
  <si>
    <t xml:space="preserve">Total $$ - 250 Terneros 200kg </t>
  </si>
  <si>
    <t xml:space="preserve">Total USD - 250 Terneros 200kg </t>
  </si>
  <si>
    <t>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</si>
</sst>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_(* #,##0.00_);_(* \(#,##0.00\);_(* &quot;-&quot;??_);_(@_)"/>
    <numFmt numFmtId="167" formatCode="_(* #,##0_);_(* \(#,##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sz val="14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rgb="FFFF0000"/>
      <name val="Arial"/>
      <family val="2"/>
    </font>
    <font>
      <sz val="14"/>
      <color theme="0"/>
      <name val="Arial"/>
      <family val="2"/>
    </font>
    <font>
      <sz val="22"/>
      <name val="Arial"/>
      <family val="2"/>
    </font>
    <font>
      <b/>
      <sz val="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/>
    <xf numFmtId="16" fontId="4" fillId="0" borderId="0" xfId="0" applyNumberFormat="1" applyFont="1"/>
    <xf numFmtId="1" fontId="2" fillId="2" borderId="1" xfId="0" applyNumberFormat="1" applyFont="1" applyFill="1" applyBorder="1"/>
    <xf numFmtId="10" fontId="4" fillId="0" borderId="0" xfId="2" applyNumberFormat="1" applyFont="1"/>
    <xf numFmtId="164" fontId="2" fillId="0" borderId="1" xfId="0" applyNumberFormat="1" applyFont="1" applyBorder="1"/>
    <xf numFmtId="1" fontId="6" fillId="0" borderId="1" xfId="0" applyNumberFormat="1" applyFont="1" applyBorder="1"/>
    <xf numFmtId="165" fontId="2" fillId="2" borderId="1" xfId="0" applyNumberFormat="1" applyFont="1" applyFill="1" applyBorder="1"/>
    <xf numFmtId="0" fontId="2" fillId="0" borderId="2" xfId="0" applyFont="1" applyBorder="1"/>
    <xf numFmtId="0" fontId="2" fillId="0" borderId="3" xfId="0" applyFont="1" applyBorder="1"/>
    <xf numFmtId="9" fontId="2" fillId="3" borderId="1" xfId="2" applyFont="1" applyFill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9" fontId="2" fillId="2" borderId="1" xfId="0" applyNumberFormat="1" applyFont="1" applyFill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167" fontId="4" fillId="0" borderId="0" xfId="1" applyNumberFormat="1" applyFont="1"/>
    <xf numFmtId="167" fontId="4" fillId="0" borderId="0" xfId="0" applyNumberFormat="1" applyFont="1"/>
    <xf numFmtId="9" fontId="4" fillId="0" borderId="0" xfId="2" applyFont="1"/>
    <xf numFmtId="2" fontId="2" fillId="0" borderId="1" xfId="0" applyNumberFormat="1" applyFont="1" applyBorder="1"/>
    <xf numFmtId="0" fontId="5" fillId="0" borderId="3" xfId="0" applyFont="1" applyBorder="1"/>
    <xf numFmtId="9" fontId="2" fillId="2" borderId="4" xfId="0" applyNumberFormat="1" applyFont="1" applyFill="1" applyBorder="1"/>
    <xf numFmtId="0" fontId="6" fillId="0" borderId="2" xfId="0" applyFont="1" applyBorder="1"/>
    <xf numFmtId="0" fontId="6" fillId="0" borderId="3" xfId="0" applyFont="1" applyBorder="1"/>
    <xf numFmtId="9" fontId="6" fillId="0" borderId="4" xfId="0" applyNumberFormat="1" applyFont="1" applyBorder="1"/>
    <xf numFmtId="165" fontId="6" fillId="0" borderId="1" xfId="0" applyNumberFormat="1" applyFont="1" applyBorder="1"/>
    <xf numFmtId="0" fontId="6" fillId="0" borderId="1" xfId="0" applyFont="1" applyBorder="1"/>
    <xf numFmtId="3" fontId="6" fillId="0" borderId="1" xfId="0" applyNumberFormat="1" applyFont="1" applyBorder="1"/>
    <xf numFmtId="165" fontId="4" fillId="0" borderId="0" xfId="0" applyNumberFormat="1" applyFont="1"/>
    <xf numFmtId="1" fontId="4" fillId="0" borderId="0" xfId="0" applyNumberFormat="1" applyFont="1"/>
    <xf numFmtId="164" fontId="4" fillId="0" borderId="0" xfId="2" applyNumberFormat="1" applyFont="1"/>
    <xf numFmtId="1" fontId="7" fillId="0" borderId="0" xfId="0" applyNumberFormat="1" applyFont="1"/>
    <xf numFmtId="0" fontId="2" fillId="0" borderId="1" xfId="0" applyFont="1" applyBorder="1" applyAlignment="1">
      <alignment horizontal="left"/>
    </xf>
    <xf numFmtId="9" fontId="2" fillId="2" borderId="1" xfId="2" applyFont="1" applyFill="1" applyBorder="1"/>
    <xf numFmtId="0" fontId="2" fillId="4" borderId="0" xfId="0" applyFont="1" applyFill="1"/>
    <xf numFmtId="0" fontId="5" fillId="4" borderId="0" xfId="0" applyFont="1" applyFill="1"/>
    <xf numFmtId="0" fontId="8" fillId="4" borderId="0" xfId="0" applyFont="1" applyFill="1"/>
    <xf numFmtId="0" fontId="9" fillId="0" borderId="0" xfId="0" applyFont="1"/>
    <xf numFmtId="14" fontId="4" fillId="0" borderId="0" xfId="0" applyNumberFormat="1" applyFont="1"/>
    <xf numFmtId="3" fontId="4" fillId="0" borderId="0" xfId="0" applyNumberFormat="1" applyFont="1"/>
    <xf numFmtId="4" fontId="4" fillId="0" borderId="0" xfId="0" applyNumberFormat="1" applyFont="1"/>
    <xf numFmtId="3" fontId="2" fillId="2" borderId="1" xfId="0" applyNumberFormat="1" applyFont="1" applyFill="1" applyBorder="1"/>
    <xf numFmtId="3" fontId="6" fillId="5" borderId="1" xfId="0" applyNumberFormat="1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9" fontId="2" fillId="5" borderId="1" xfId="2" applyFont="1" applyFill="1" applyBorder="1"/>
    <xf numFmtId="0" fontId="10" fillId="0" borderId="0" xfId="0" applyFont="1"/>
    <xf numFmtId="0" fontId="10" fillId="0" borderId="1" xfId="0" applyFont="1" applyBorder="1"/>
    <xf numFmtId="10" fontId="10" fillId="0" borderId="1" xfId="2" applyNumberFormat="1" applyFont="1" applyBorder="1"/>
    <xf numFmtId="3" fontId="10" fillId="0" borderId="1" xfId="0" applyNumberFormat="1" applyFont="1" applyBorder="1"/>
    <xf numFmtId="14" fontId="10" fillId="0" borderId="0" xfId="0" applyNumberFormat="1" applyFont="1"/>
    <xf numFmtId="1" fontId="10" fillId="0" borderId="0" xfId="0" applyNumberFormat="1" applyFont="1"/>
    <xf numFmtId="3" fontId="11" fillId="5" borderId="1" xfId="0" applyNumberFormat="1" applyFont="1" applyFill="1" applyBorder="1"/>
    <xf numFmtId="0" fontId="2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Spin" dx="16" fmlaLink="$C$4" inc="10" max="30000" page="10" val="40"/>
</file>

<file path=xl/ctrlProps/ctrlProp2.xml><?xml version="1.0" encoding="utf-8"?>
<formControlPr xmlns="http://schemas.microsoft.com/office/spreadsheetml/2009/9/main" objectType="Spin" dx="16" fmlaLink="$C$5" inc="10" max="30000" page="10" val="80"/>
</file>

<file path=xl/ctrlProps/ctrlProp3.xml><?xml version="1.0" encoding="utf-8"?>
<formControlPr xmlns="http://schemas.microsoft.com/office/spreadsheetml/2009/9/main" objectType="Spin" dx="16" fmlaLink="$D$7" max="30000" page="10" val="13"/>
</file>

<file path=xl/ctrlProps/ctrlProp4.xml><?xml version="1.0" encoding="utf-8"?>
<formControlPr xmlns="http://schemas.microsoft.com/office/spreadsheetml/2009/9/main" objectType="Spin" dx="16" fmlaLink="$D$10" max="30000" page="10" val="2381"/>
</file>

<file path=xl/ctrlProps/ctrlProp5.xml><?xml version="1.0" encoding="utf-8"?>
<formControlPr xmlns="http://schemas.microsoft.com/office/spreadsheetml/2009/9/main" objectType="Spin" dx="16" fmlaLink="$D$11" max="30000" page="10" val="15003"/>
</file>

<file path=xl/ctrlProps/ctrlProp6.xml><?xml version="1.0" encoding="utf-8"?>
<formControlPr xmlns="http://schemas.microsoft.com/office/spreadsheetml/2009/9/main" objectType="Spin" dx="16" fmlaLink="$B$15" max="30000" page="10" val="40"/>
</file>

<file path=xl/ctrlProps/ctrlProp7.xml><?xml version="1.0" encoding="utf-8"?>
<formControlPr xmlns="http://schemas.microsoft.com/office/spreadsheetml/2009/9/main" objectType="Spin" dx="16" fmlaLink="$B$16" max="30000" page="10" val="30"/>
</file>

<file path=xl/ctrlProps/ctrlProp8.xml><?xml version="1.0" encoding="utf-8"?>
<formControlPr xmlns="http://schemas.microsoft.com/office/spreadsheetml/2009/9/main" objectType="Spin" dx="16" fmlaLink="$B$15" max="30000" page="10" val="40"/>
</file>

<file path=xl/ctrlProps/ctrlProp9.xml><?xml version="1.0" encoding="utf-8"?>
<formControlPr xmlns="http://schemas.microsoft.com/office/spreadsheetml/2009/9/main" objectType="Spin" dx="16" fmlaLink="$B$16" max="30000" page="10" val="30"/>
</file>

<file path=xl/ctrlProps/ctrlProp10.xml><?xml version="1.0" encoding="utf-8"?>
<formControlPr xmlns="http://schemas.microsoft.com/office/spreadsheetml/2009/9/main" objectType="Spin" dx="16" fmlaLink="$B$17" max="30000" page="10" val="30"/>
</file>

<file path=xl/ctrlProps/ctrlProp11.xml><?xml version="1.0" encoding="utf-8"?>
<formControlPr xmlns="http://schemas.microsoft.com/office/spreadsheetml/2009/9/main" objectType="Spin" dx="16" fmlaLink="$C$3" inc="10" max="30000" page="10" val="100"/>
</file>

<file path=xl/ctrlProps/ctrlProp12.xml><?xml version="1.0" encoding="utf-8"?>
<formControlPr xmlns="http://schemas.microsoft.com/office/spreadsheetml/2009/9/main" objectType="Spin" dx="16" fmlaLink="$E$15" inc="10" max="30000" page="10" val="30000"/>
</file>

<file path=xl/ctrlProps/ctrlProp13.xml><?xml version="1.0" encoding="utf-8"?>
<formControlPr xmlns="http://schemas.microsoft.com/office/spreadsheetml/2009/9/main" objectType="Spin" dx="16" fmlaLink="$E$16" inc="10" max="30000" page="10" val="30000"/>
</file>

<file path=xl/ctrlProps/ctrlProp14.xml><?xml version="1.0" encoding="utf-8"?>
<formControlPr xmlns="http://schemas.microsoft.com/office/spreadsheetml/2009/9/main" objectType="Spin" dx="16" fmlaLink="$E$17" inc="10" max="30000" page="10" val="30000"/>
</file>

<file path=xl/ctrlProps/ctrlProp15.xml><?xml version="1.0" encoding="utf-8"?>
<formControlPr xmlns="http://schemas.microsoft.com/office/spreadsheetml/2009/9/main" objectType="Spin" dx="16" fmlaLink="$E$19" inc="100" max="30000" page="10" val="0"/>
</file>

<file path=xl/ctrlProps/ctrlProp16.xml><?xml version="1.0" encoding="utf-8"?>
<formControlPr xmlns="http://schemas.microsoft.com/office/spreadsheetml/2009/9/main" objectType="Spin" dx="16" fmlaLink="$B$19" max="30000" page="10" val="0"/>
</file>

<file path=xl/ctrlProps/ctrlProp17.xml><?xml version="1.0" encoding="utf-8"?>
<formControlPr xmlns="http://schemas.microsoft.com/office/spreadsheetml/2009/9/main" objectType="Spin" dx="16" fmlaLink="$C$4" inc="10" max="30000" page="10" val="80"/>
</file>

<file path=xl/ctrlProps/ctrlProp18.xml><?xml version="1.0" encoding="utf-8"?>
<formControlPr xmlns="http://schemas.microsoft.com/office/spreadsheetml/2009/9/main" objectType="Spin" dx="16" fmlaLink="$C$5" inc="10" max="30000" page="10" val="200"/>
</file>

<file path=xl/ctrlProps/ctrlProp19.xml><?xml version="1.0" encoding="utf-8"?>
<formControlPr xmlns="http://schemas.microsoft.com/office/spreadsheetml/2009/9/main" objectType="Spin" dx="16" fmlaLink="$D$7" max="30000" page="10" val="16"/>
</file>

<file path=xl/ctrlProps/ctrlProp20.xml><?xml version="1.0" encoding="utf-8"?>
<formControlPr xmlns="http://schemas.microsoft.com/office/spreadsheetml/2009/9/main" objectType="Spin" dx="16" fmlaLink="$D$10" max="30000" page="10" val="186"/>
</file>

<file path=xl/ctrlProps/ctrlProp21.xml><?xml version="1.0" encoding="utf-8"?>
<formControlPr xmlns="http://schemas.microsoft.com/office/spreadsheetml/2009/9/main" objectType="Spin" dx="16" fmlaLink="$D$11" max="30000" page="10" val="15553"/>
</file>

<file path=xl/ctrlProps/ctrlProp22.xml><?xml version="1.0" encoding="utf-8"?>
<formControlPr xmlns="http://schemas.microsoft.com/office/spreadsheetml/2009/9/main" objectType="Spin" dx="16" fmlaLink="$B$15" max="30000" page="10" val="0"/>
</file>

<file path=xl/ctrlProps/ctrlProp23.xml><?xml version="1.0" encoding="utf-8"?>
<formControlPr xmlns="http://schemas.microsoft.com/office/spreadsheetml/2009/9/main" objectType="Spin" dx="16" fmlaLink="$B$16" max="30000" page="10" val="70"/>
</file>

<file path=xl/ctrlProps/ctrlProp24.xml><?xml version="1.0" encoding="utf-8"?>
<formControlPr xmlns="http://schemas.microsoft.com/office/spreadsheetml/2009/9/main" objectType="Spin" dx="16" fmlaLink="$B$15" max="30000" page="10" val="0"/>
</file>

<file path=xl/ctrlProps/ctrlProp25.xml><?xml version="1.0" encoding="utf-8"?>
<formControlPr xmlns="http://schemas.microsoft.com/office/spreadsheetml/2009/9/main" objectType="Spin" dx="16" fmlaLink="$B$16" max="30000" page="10" val="70"/>
</file>

<file path=xl/ctrlProps/ctrlProp26.xml><?xml version="1.0" encoding="utf-8"?>
<formControlPr xmlns="http://schemas.microsoft.com/office/spreadsheetml/2009/9/main" objectType="Spin" dx="16" fmlaLink="$B$17" max="30000" page="10" val="30"/>
</file>

<file path=xl/ctrlProps/ctrlProp27.xml><?xml version="1.0" encoding="utf-8"?>
<formControlPr xmlns="http://schemas.microsoft.com/office/spreadsheetml/2009/9/main" objectType="Spin" dx="16" fmlaLink="$C$3" inc="10" max="30000" page="10" val="100"/>
</file>

<file path=xl/ctrlProps/ctrlProp28.xml><?xml version="1.0" encoding="utf-8"?>
<formControlPr xmlns="http://schemas.microsoft.com/office/spreadsheetml/2009/9/main" objectType="Spin" dx="16" fmlaLink="$E$15" inc="10" max="30000" page="10" val="30000"/>
</file>

<file path=xl/ctrlProps/ctrlProp29.xml><?xml version="1.0" encoding="utf-8"?>
<formControlPr xmlns="http://schemas.microsoft.com/office/spreadsheetml/2009/9/main" objectType="Spin" dx="16" fmlaLink="$E$16" inc="10" max="30000" page="10" val="30000"/>
</file>

<file path=xl/ctrlProps/ctrlProp30.xml><?xml version="1.0" encoding="utf-8"?>
<formControlPr xmlns="http://schemas.microsoft.com/office/spreadsheetml/2009/9/main" objectType="Spin" dx="16" fmlaLink="$E$17" inc="10" max="30000" page="10" val="30000"/>
</file>

<file path=xl/ctrlProps/ctrlProp31.xml><?xml version="1.0" encoding="utf-8"?>
<formControlPr xmlns="http://schemas.microsoft.com/office/spreadsheetml/2009/9/main" objectType="Spin" dx="16" fmlaLink="$E$19" inc="100" max="30000" page="10" val="2000"/>
</file>

<file path=xl/ctrlProps/ctrlProp32.xml><?xml version="1.0" encoding="utf-8"?>
<formControlPr xmlns="http://schemas.microsoft.com/office/spreadsheetml/2009/9/main" objectType="Spin" dx="16" fmlaLink="$B$19" max="30000" page="10" val="0"/>
</file>

<file path=xl/ctrlProps/ctrlProp33.xml><?xml version="1.0" encoding="utf-8"?>
<formControlPr xmlns="http://schemas.microsoft.com/office/spreadsheetml/2009/9/main" objectType="Spin" dx="16" fmlaLink="$C$4" inc="10" max="30000" page="10" val="200"/>
</file>

<file path=xl/ctrlProps/ctrlProp34.xml><?xml version="1.0" encoding="utf-8"?>
<formControlPr xmlns="http://schemas.microsoft.com/office/spreadsheetml/2009/9/main" objectType="Spin" dx="16" fmlaLink="$C$5" inc="10" max="30000" page="10" val="380"/>
</file>

<file path=xl/ctrlProps/ctrlProp35.xml><?xml version="1.0" encoding="utf-8"?>
<formControlPr xmlns="http://schemas.microsoft.com/office/spreadsheetml/2009/9/main" objectType="Spin" dx="16" fmlaLink="$D$7" max="30000" page="10" val="22"/>
</file>

<file path=xl/ctrlProps/ctrlProp36.xml><?xml version="1.0" encoding="utf-8"?>
<formControlPr xmlns="http://schemas.microsoft.com/office/spreadsheetml/2009/9/main" objectType="Spin" dx="16" fmlaLink="$D$10" max="30000" page="10" val="11000"/>
</file>

<file path=xl/ctrlProps/ctrlProp37.xml><?xml version="1.0" encoding="utf-8"?>
<formControlPr xmlns="http://schemas.microsoft.com/office/spreadsheetml/2009/9/main" objectType="Spin" dx="16" fmlaLink="$D$11" max="30000" page="10" val="30000"/>
</file>

<file path=xl/ctrlProps/ctrlProp38.xml><?xml version="1.0" encoding="utf-8"?>
<formControlPr xmlns="http://schemas.microsoft.com/office/spreadsheetml/2009/9/main" objectType="Spin" dx="16" fmlaLink="$B$15" max="30000" page="10" val="80"/>
</file>

<file path=xl/ctrlProps/ctrlProp39.xml><?xml version="1.0" encoding="utf-8"?>
<formControlPr xmlns="http://schemas.microsoft.com/office/spreadsheetml/2009/9/main" objectType="Spin" dx="16" fmlaLink="$B$16" max="30000" page="10" val="20"/>
</file>

<file path=xl/ctrlProps/ctrlProp40.xml><?xml version="1.0" encoding="utf-8"?>
<formControlPr xmlns="http://schemas.microsoft.com/office/spreadsheetml/2009/9/main" objectType="Spin" dx="16" fmlaLink="$B$15" max="30000" page="10" val="80"/>
</file>

<file path=xl/ctrlProps/ctrlProp41.xml><?xml version="1.0" encoding="utf-8"?>
<formControlPr xmlns="http://schemas.microsoft.com/office/spreadsheetml/2009/9/main" objectType="Spin" dx="16" fmlaLink="$B$16" max="30000" page="10" val="20"/>
</file>

<file path=xl/ctrlProps/ctrlProp42.xml><?xml version="1.0" encoding="utf-8"?>
<formControlPr xmlns="http://schemas.microsoft.com/office/spreadsheetml/2009/9/main" objectType="Spin" dx="16" fmlaLink="$B$17" max="30000" page="10" val="0"/>
</file>

<file path=xl/ctrlProps/ctrlProp43.xml><?xml version="1.0" encoding="utf-8"?>
<formControlPr xmlns="http://schemas.microsoft.com/office/spreadsheetml/2009/9/main" objectType="Spin" dx="16" fmlaLink="$C$3" inc="10" max="30000" page="10" val="100"/>
</file>

<file path=xl/ctrlProps/ctrlProp44.xml><?xml version="1.0" encoding="utf-8"?>
<formControlPr xmlns="http://schemas.microsoft.com/office/spreadsheetml/2009/9/main" objectType="Spin" dx="16" fmlaLink="$E$15" inc="10" max="30000" page="10" val="30000"/>
</file>

<file path=xl/ctrlProps/ctrlProp45.xml><?xml version="1.0" encoding="utf-8"?>
<formControlPr xmlns="http://schemas.microsoft.com/office/spreadsheetml/2009/9/main" objectType="Spin" dx="16" fmlaLink="$E$16" inc="10" max="30000" page="10" val="30000"/>
</file>

<file path=xl/ctrlProps/ctrlProp46.xml><?xml version="1.0" encoding="utf-8"?>
<formControlPr xmlns="http://schemas.microsoft.com/office/spreadsheetml/2009/9/main" objectType="Spin" dx="16" fmlaLink="$E$17" inc="10" max="30000" page="10" val="0"/>
</file>

<file path=xl/ctrlProps/ctrlProp47.xml><?xml version="1.0" encoding="utf-8"?>
<formControlPr xmlns="http://schemas.microsoft.com/office/spreadsheetml/2009/9/main" objectType="Spin" dx="16" fmlaLink="$E$19" inc="100" max="30000" page="10" val="0"/>
</file>

<file path=xl/ctrlProps/ctrlProp48.xml><?xml version="1.0" encoding="utf-8"?>
<formControlPr xmlns="http://schemas.microsoft.com/office/spreadsheetml/2009/9/main" objectType="Spin" dx="16" fmlaLink="$B$19" max="30000" page="10" val="0"/>
</file>

<file path=xl/ctrlProps/ctrlProp49.xml><?xml version="1.0" encoding="utf-8"?>
<formControlPr xmlns="http://schemas.microsoft.com/office/spreadsheetml/2009/9/main" objectType="Spin" dx="16" fmlaLink="$C$4" inc="10" max="30000" page="10" val="200"/>
</file>

<file path=xl/ctrlProps/ctrlProp50.xml><?xml version="1.0" encoding="utf-8"?>
<formControlPr xmlns="http://schemas.microsoft.com/office/spreadsheetml/2009/9/main" objectType="Spin" dx="16" fmlaLink="$C$5" inc="10" max="30000" page="10" val="480"/>
</file>

<file path=xl/ctrlProps/ctrlProp51.xml><?xml version="1.0" encoding="utf-8"?>
<formControlPr xmlns="http://schemas.microsoft.com/office/spreadsheetml/2009/9/main" objectType="Spin" dx="16" fmlaLink="$D$7" max="30000" page="10" val="12"/>
</file>

<file path=xl/ctrlProps/ctrlProp52.xml><?xml version="1.0" encoding="utf-8"?>
<formControlPr xmlns="http://schemas.microsoft.com/office/spreadsheetml/2009/9/main" objectType="Spin" dx="16" fmlaLink="$D$10" max="30000" page="10" val="141"/>
</file>

<file path=xl/ctrlProps/ctrlProp53.xml><?xml version="1.0" encoding="utf-8"?>
<formControlPr xmlns="http://schemas.microsoft.com/office/spreadsheetml/2009/9/main" objectType="Spin" dx="16" fmlaLink="$M$13" max="30000" page="10" val="0"/>
</file>

<file path=xl/ctrlProps/ctrlProp54.xml><?xml version="1.0" encoding="utf-8"?>
<formControlPr xmlns="http://schemas.microsoft.com/office/spreadsheetml/2009/9/main" objectType="Spin" dx="16" fmlaLink="#REF!" max="30000" page="10" val="85"/>
</file>

<file path=xl/ctrlProps/ctrlProp55.xml><?xml version="1.0" encoding="utf-8"?>
<formControlPr xmlns="http://schemas.microsoft.com/office/spreadsheetml/2009/9/main" objectType="Spin" dx="16" fmlaLink="$B$15" max="30000" page="10" val="0"/>
</file>

<file path=xl/ctrlProps/ctrlProp56.xml><?xml version="1.0" encoding="utf-8"?>
<formControlPr xmlns="http://schemas.microsoft.com/office/spreadsheetml/2009/9/main" objectType="Spin" dx="16" fmlaLink="#REF!" max="30000" page="10" val="85"/>
</file>

<file path=xl/ctrlProps/ctrlProp57.xml><?xml version="1.0" encoding="utf-8"?>
<formControlPr xmlns="http://schemas.microsoft.com/office/spreadsheetml/2009/9/main" objectType="Spin" dx="16" fmlaLink="$B$15" max="30000" page="10" val="0"/>
</file>

<file path=xl/ctrlProps/ctrlProp58.xml><?xml version="1.0" encoding="utf-8"?>
<formControlPr xmlns="http://schemas.microsoft.com/office/spreadsheetml/2009/9/main" objectType="Spin" dx="16" fmlaLink="$B$16" max="30000" page="10" val="25"/>
</file>

<file path=xl/ctrlProps/ctrlProp59.xml><?xml version="1.0" encoding="utf-8"?>
<formControlPr xmlns="http://schemas.microsoft.com/office/spreadsheetml/2009/9/main" objectType="Spin" dx="16" fmlaLink="$C$3" inc="10" max="30000" page="10" val="100"/>
</file>

<file path=xl/ctrlProps/ctrlProp60.xml><?xml version="1.0" encoding="utf-8"?>
<formControlPr xmlns="http://schemas.microsoft.com/office/spreadsheetml/2009/9/main" objectType="Spin" dx="16" fmlaLink="#REF!" inc="10" max="30000" page="10" val="420"/>
</file>

<file path=xl/ctrlProps/ctrlProp61.xml><?xml version="1.0" encoding="utf-8"?>
<formControlPr xmlns="http://schemas.microsoft.com/office/spreadsheetml/2009/9/main" objectType="Spin" dx="16" fmlaLink="$E$15" inc="10" max="30000" page="10" val="30000"/>
</file>

<file path=xl/ctrlProps/ctrlProp62.xml><?xml version="1.0" encoding="utf-8"?>
<formControlPr xmlns="http://schemas.microsoft.com/office/spreadsheetml/2009/9/main" objectType="Spin" dx="16" fmlaLink="$E$16" inc="10" max="30000" page="10" val="30000"/>
</file>

<file path=xl/ctrlProps/ctrlProp63.xml><?xml version="1.0" encoding="utf-8"?>
<formControlPr xmlns="http://schemas.microsoft.com/office/spreadsheetml/2009/9/main" objectType="Spin" dx="16" fmlaLink="$E$21" inc="100" max="30000" page="10" val="0"/>
</file>

<file path=xl/ctrlProps/ctrlProp64.xml><?xml version="1.0" encoding="utf-8"?>
<formControlPr xmlns="http://schemas.microsoft.com/office/spreadsheetml/2009/9/main" objectType="Spin" dx="16" fmlaLink="$B$21" max="30000" page="10" val="0"/>
</file>

<file path=xl/ctrlProps/ctrlProp65.xml><?xml version="1.0" encoding="utf-8"?>
<formControlPr xmlns="http://schemas.microsoft.com/office/spreadsheetml/2009/9/main" objectType="Spin" dx="16" fmlaLink="B17" max="30000" page="10" val="65"/>
</file>

<file path=xl/ctrlProps/ctrlProp66.xml><?xml version="1.0" encoding="utf-8"?>
<formControlPr xmlns="http://schemas.microsoft.com/office/spreadsheetml/2009/9/main" objectType="Spin" dx="16" fmlaLink="$B$15" max="30000" page="10" val="0"/>
</file>

<file path=xl/ctrlProps/ctrlProp67.xml><?xml version="1.0" encoding="utf-8"?>
<formControlPr xmlns="http://schemas.microsoft.com/office/spreadsheetml/2009/9/main" objectType="Spin" dx="16" fmlaLink="#REF!" max="30000" page="10" val="85"/>
</file>

<file path=xl/ctrlProps/ctrlProp68.xml><?xml version="1.0" encoding="utf-8"?>
<formControlPr xmlns="http://schemas.microsoft.com/office/spreadsheetml/2009/9/main" objectType="Spin" dx="16" fmlaLink="$B$18" max="30000" page="10" val="10"/>
</file>

<file path=xl/ctrlProps/ctrlProp69.xml><?xml version="1.0" encoding="utf-8"?>
<formControlPr xmlns="http://schemas.microsoft.com/office/spreadsheetml/2009/9/main" objectType="Spin" dx="16" fmlaLink="$B$19" max="30000" page="10" val="0"/>
</file>

<file path=xl/ctrlProps/ctrlProp70.xml><?xml version="1.0" encoding="utf-8"?>
<formControlPr xmlns="http://schemas.microsoft.com/office/spreadsheetml/2009/9/main" objectType="Spin" dx="16" fmlaLink="$E$17" inc="10" max="30000" page="10" val="30000"/>
</file>

<file path=xl/ctrlProps/ctrlProp71.xml><?xml version="1.0" encoding="utf-8"?>
<formControlPr xmlns="http://schemas.microsoft.com/office/spreadsheetml/2009/9/main" objectType="Spin" dx="16" fmlaLink="$E$18" inc="10" max="30000" page="10" val="30000"/>
</file>

<file path=xl/ctrlProps/ctrlProp72.xml><?xml version="1.0" encoding="utf-8"?>
<formControlPr xmlns="http://schemas.microsoft.com/office/spreadsheetml/2009/9/main" objectType="Spin" dx="16" fmlaLink="$E$19" inc="10" max="30000" page="10" val="0"/>
</file>

<file path=xl/ctrlProps/ctrlProp73.xml><?xml version="1.0" encoding="utf-8"?>
<formControlPr xmlns="http://schemas.microsoft.com/office/spreadsheetml/2009/9/main" objectType="Spin" dx="16" fmlaLink="$E$20" inc="100" max="30000" page="10" val="0"/>
</file>

<file path=xl/ctrlProps/ctrlProp74.xml><?xml version="1.0" encoding="utf-8"?>
<formControlPr xmlns="http://schemas.microsoft.com/office/spreadsheetml/2009/9/main" objectType="Spin" dx="16" fmlaLink="$B$20" max="30000" page="10" val="0"/>
</file>

<file path=xl/ctrlProps/ctrlProp75.xml><?xml version="1.0" encoding="utf-8"?>
<formControlPr xmlns="http://schemas.microsoft.com/office/spreadsheetml/2009/9/main" objectType="Spin" dx="16" fmlaLink="$B$15" max="30000" page="10" val="0"/>
</file>

<file path=xl/ctrlProps/ctrlProp76.xml><?xml version="1.0" encoding="utf-8"?>
<formControlPr xmlns="http://schemas.microsoft.com/office/spreadsheetml/2009/9/main" objectType="Spin" dx="16" fmlaLink="$B$19" max="30000" page="10" val="0"/>
</file>

<file path=xl/ctrlProps/ctrlProp77.xml><?xml version="1.0" encoding="utf-8"?>
<formControlPr xmlns="http://schemas.microsoft.com/office/spreadsheetml/2009/9/main" objectType="Spin" dx="16" fmlaLink="$D$11" max="30000" page="10" val="3000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3</xdr:row>
          <xdr:rowOff>7620</xdr:rowOff>
        </xdr:from>
        <xdr:to>
          <xdr:col>2</xdr:col>
          <xdr:colOff>175260</xdr:colOff>
          <xdr:row>4</xdr:row>
          <xdr:rowOff>0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4</xdr:row>
          <xdr:rowOff>7620</xdr:rowOff>
        </xdr:from>
        <xdr:to>
          <xdr:col>2</xdr:col>
          <xdr:colOff>175260</xdr:colOff>
          <xdr:row>5</xdr:row>
          <xdr:rowOff>0</xdr:rowOff>
        </xdr:to>
        <xdr:sp macro="" textlink="">
          <xdr:nvSpPr>
            <xdr:cNvPr id="6146" name="Spinner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6</xdr:row>
          <xdr:rowOff>7620</xdr:rowOff>
        </xdr:from>
        <xdr:to>
          <xdr:col>2</xdr:col>
          <xdr:colOff>175260</xdr:colOff>
          <xdr:row>7</xdr:row>
          <xdr:rowOff>0</xdr:rowOff>
        </xdr:to>
        <xdr:sp macro="" textlink="">
          <xdr:nvSpPr>
            <xdr:cNvPr id="6147" name="Spinner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9</xdr:row>
          <xdr:rowOff>7620</xdr:rowOff>
        </xdr:from>
        <xdr:to>
          <xdr:col>2</xdr:col>
          <xdr:colOff>175260</xdr:colOff>
          <xdr:row>10</xdr:row>
          <xdr:rowOff>0</xdr:rowOff>
        </xdr:to>
        <xdr:sp macro="" textlink="">
          <xdr:nvSpPr>
            <xdr:cNvPr id="6148" name="Spinner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10</xdr:row>
          <xdr:rowOff>7620</xdr:rowOff>
        </xdr:from>
        <xdr:to>
          <xdr:col>2</xdr:col>
          <xdr:colOff>175260</xdr:colOff>
          <xdr:row>11</xdr:row>
          <xdr:rowOff>0</xdr:rowOff>
        </xdr:to>
        <xdr:sp macro="" textlink="">
          <xdr:nvSpPr>
            <xdr:cNvPr id="6149" name="Spinner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14</xdr:row>
          <xdr:rowOff>7620</xdr:rowOff>
        </xdr:from>
        <xdr:to>
          <xdr:col>2</xdr:col>
          <xdr:colOff>175260</xdr:colOff>
          <xdr:row>15</xdr:row>
          <xdr:rowOff>0</xdr:rowOff>
        </xdr:to>
        <xdr:sp macro="" textlink="">
          <xdr:nvSpPr>
            <xdr:cNvPr id="6150" name="Spinner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15</xdr:row>
          <xdr:rowOff>7620</xdr:rowOff>
        </xdr:from>
        <xdr:to>
          <xdr:col>2</xdr:col>
          <xdr:colOff>175260</xdr:colOff>
          <xdr:row>16</xdr:row>
          <xdr:rowOff>0</xdr:rowOff>
        </xdr:to>
        <xdr:sp macro="" textlink="">
          <xdr:nvSpPr>
            <xdr:cNvPr id="6151" name="Spinner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16</xdr:row>
          <xdr:rowOff>7620</xdr:rowOff>
        </xdr:from>
        <xdr:to>
          <xdr:col>2</xdr:col>
          <xdr:colOff>175260</xdr:colOff>
          <xdr:row>17</xdr:row>
          <xdr:rowOff>0</xdr:rowOff>
        </xdr:to>
        <xdr:sp macro="" textlink="">
          <xdr:nvSpPr>
            <xdr:cNvPr id="6152" name="Spinner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0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15</xdr:row>
          <xdr:rowOff>7620</xdr:rowOff>
        </xdr:from>
        <xdr:to>
          <xdr:col>2</xdr:col>
          <xdr:colOff>175260</xdr:colOff>
          <xdr:row>16</xdr:row>
          <xdr:rowOff>0</xdr:rowOff>
        </xdr:to>
        <xdr:sp macro="" textlink="">
          <xdr:nvSpPr>
            <xdr:cNvPr id="6153" name="Spinner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0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16</xdr:row>
          <xdr:rowOff>7620</xdr:rowOff>
        </xdr:from>
        <xdr:to>
          <xdr:col>2</xdr:col>
          <xdr:colOff>175260</xdr:colOff>
          <xdr:row>17</xdr:row>
          <xdr:rowOff>0</xdr:rowOff>
        </xdr:to>
        <xdr:sp macro="" textlink="">
          <xdr:nvSpPr>
            <xdr:cNvPr id="6154" name="Spinner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0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2</xdr:row>
          <xdr:rowOff>7620</xdr:rowOff>
        </xdr:from>
        <xdr:to>
          <xdr:col>2</xdr:col>
          <xdr:colOff>175260</xdr:colOff>
          <xdr:row>3</xdr:row>
          <xdr:rowOff>0</xdr:rowOff>
        </xdr:to>
        <xdr:sp macro="" textlink="">
          <xdr:nvSpPr>
            <xdr:cNvPr id="6155" name="Spinner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0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14</xdr:row>
          <xdr:rowOff>7620</xdr:rowOff>
        </xdr:from>
        <xdr:to>
          <xdr:col>4</xdr:col>
          <xdr:colOff>175260</xdr:colOff>
          <xdr:row>15</xdr:row>
          <xdr:rowOff>0</xdr:rowOff>
        </xdr:to>
        <xdr:sp macro="" textlink="">
          <xdr:nvSpPr>
            <xdr:cNvPr id="6156" name="Spinner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0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15</xdr:row>
          <xdr:rowOff>7620</xdr:rowOff>
        </xdr:from>
        <xdr:to>
          <xdr:col>4</xdr:col>
          <xdr:colOff>175260</xdr:colOff>
          <xdr:row>16</xdr:row>
          <xdr:rowOff>0</xdr:rowOff>
        </xdr:to>
        <xdr:sp macro="" textlink="">
          <xdr:nvSpPr>
            <xdr:cNvPr id="6157" name="Spinner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0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16</xdr:row>
          <xdr:rowOff>7620</xdr:rowOff>
        </xdr:from>
        <xdr:to>
          <xdr:col>4</xdr:col>
          <xdr:colOff>175260</xdr:colOff>
          <xdr:row>17</xdr:row>
          <xdr:rowOff>0</xdr:rowOff>
        </xdr:to>
        <xdr:sp macro="" textlink="">
          <xdr:nvSpPr>
            <xdr:cNvPr id="6158" name="Spinner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0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18</xdr:row>
          <xdr:rowOff>7620</xdr:rowOff>
        </xdr:from>
        <xdr:to>
          <xdr:col>4</xdr:col>
          <xdr:colOff>175260</xdr:colOff>
          <xdr:row>19</xdr:row>
          <xdr:rowOff>0</xdr:rowOff>
        </xdr:to>
        <xdr:sp macro="" textlink="">
          <xdr:nvSpPr>
            <xdr:cNvPr id="6159" name="Spinner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0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17</xdr:row>
          <xdr:rowOff>251460</xdr:rowOff>
        </xdr:from>
        <xdr:to>
          <xdr:col>2</xdr:col>
          <xdr:colOff>144780</xdr:colOff>
          <xdr:row>18</xdr:row>
          <xdr:rowOff>236220</xdr:rowOff>
        </xdr:to>
        <xdr:sp macro="" textlink="">
          <xdr:nvSpPr>
            <xdr:cNvPr id="6160" name="Spinner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0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3</xdr:row>
          <xdr:rowOff>7620</xdr:rowOff>
        </xdr:from>
        <xdr:to>
          <xdr:col>2</xdr:col>
          <xdr:colOff>175260</xdr:colOff>
          <xdr:row>4</xdr:row>
          <xdr:rowOff>0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4</xdr:row>
          <xdr:rowOff>7620</xdr:rowOff>
        </xdr:from>
        <xdr:to>
          <xdr:col>2</xdr:col>
          <xdr:colOff>175260</xdr:colOff>
          <xdr:row>5</xdr:row>
          <xdr:rowOff>0</xdr:rowOff>
        </xdr:to>
        <xdr:sp macro="" textlink="">
          <xdr:nvSpPr>
            <xdr:cNvPr id="8194" name="Spinne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6</xdr:row>
          <xdr:rowOff>7620</xdr:rowOff>
        </xdr:from>
        <xdr:to>
          <xdr:col>2</xdr:col>
          <xdr:colOff>175260</xdr:colOff>
          <xdr:row>7</xdr:row>
          <xdr:rowOff>0</xdr:rowOff>
        </xdr:to>
        <xdr:sp macro="" textlink="">
          <xdr:nvSpPr>
            <xdr:cNvPr id="8195" name="Spinner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9</xdr:row>
          <xdr:rowOff>7620</xdr:rowOff>
        </xdr:from>
        <xdr:to>
          <xdr:col>2</xdr:col>
          <xdr:colOff>175260</xdr:colOff>
          <xdr:row>10</xdr:row>
          <xdr:rowOff>0</xdr:rowOff>
        </xdr:to>
        <xdr:sp macro="" textlink="">
          <xdr:nvSpPr>
            <xdr:cNvPr id="8196" name="Spinner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1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10</xdr:row>
          <xdr:rowOff>7620</xdr:rowOff>
        </xdr:from>
        <xdr:to>
          <xdr:col>2</xdr:col>
          <xdr:colOff>175260</xdr:colOff>
          <xdr:row>11</xdr:row>
          <xdr:rowOff>0</xdr:rowOff>
        </xdr:to>
        <xdr:sp macro="" textlink="">
          <xdr:nvSpPr>
            <xdr:cNvPr id="8197" name="Spinner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1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14</xdr:row>
          <xdr:rowOff>7620</xdr:rowOff>
        </xdr:from>
        <xdr:to>
          <xdr:col>2</xdr:col>
          <xdr:colOff>175260</xdr:colOff>
          <xdr:row>15</xdr:row>
          <xdr:rowOff>0</xdr:rowOff>
        </xdr:to>
        <xdr:sp macro="" textlink="">
          <xdr:nvSpPr>
            <xdr:cNvPr id="8198" name="Spinner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1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15</xdr:row>
          <xdr:rowOff>7620</xdr:rowOff>
        </xdr:from>
        <xdr:to>
          <xdr:col>2</xdr:col>
          <xdr:colOff>175260</xdr:colOff>
          <xdr:row>16</xdr:row>
          <xdr:rowOff>0</xdr:rowOff>
        </xdr:to>
        <xdr:sp macro="" textlink="">
          <xdr:nvSpPr>
            <xdr:cNvPr id="8199" name="Spinner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1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16</xdr:row>
          <xdr:rowOff>7620</xdr:rowOff>
        </xdr:from>
        <xdr:to>
          <xdr:col>2</xdr:col>
          <xdr:colOff>175260</xdr:colOff>
          <xdr:row>17</xdr:row>
          <xdr:rowOff>0</xdr:rowOff>
        </xdr:to>
        <xdr:sp macro="" textlink="">
          <xdr:nvSpPr>
            <xdr:cNvPr id="8200" name="Spinner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1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15</xdr:row>
          <xdr:rowOff>7620</xdr:rowOff>
        </xdr:from>
        <xdr:to>
          <xdr:col>2</xdr:col>
          <xdr:colOff>175260</xdr:colOff>
          <xdr:row>16</xdr:row>
          <xdr:rowOff>0</xdr:rowOff>
        </xdr:to>
        <xdr:sp macro="" textlink="">
          <xdr:nvSpPr>
            <xdr:cNvPr id="8201" name="Spinner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1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16</xdr:row>
          <xdr:rowOff>7620</xdr:rowOff>
        </xdr:from>
        <xdr:to>
          <xdr:col>2</xdr:col>
          <xdr:colOff>175260</xdr:colOff>
          <xdr:row>17</xdr:row>
          <xdr:rowOff>0</xdr:rowOff>
        </xdr:to>
        <xdr:sp macro="" textlink="">
          <xdr:nvSpPr>
            <xdr:cNvPr id="8202" name="Spinner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1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2</xdr:row>
          <xdr:rowOff>7620</xdr:rowOff>
        </xdr:from>
        <xdr:to>
          <xdr:col>2</xdr:col>
          <xdr:colOff>175260</xdr:colOff>
          <xdr:row>3</xdr:row>
          <xdr:rowOff>0</xdr:rowOff>
        </xdr:to>
        <xdr:sp macro="" textlink="">
          <xdr:nvSpPr>
            <xdr:cNvPr id="8203" name="Spinner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1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14</xdr:row>
          <xdr:rowOff>7620</xdr:rowOff>
        </xdr:from>
        <xdr:to>
          <xdr:col>4</xdr:col>
          <xdr:colOff>175260</xdr:colOff>
          <xdr:row>15</xdr:row>
          <xdr:rowOff>0</xdr:rowOff>
        </xdr:to>
        <xdr:sp macro="" textlink="">
          <xdr:nvSpPr>
            <xdr:cNvPr id="8204" name="Spinner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1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15</xdr:row>
          <xdr:rowOff>7620</xdr:rowOff>
        </xdr:from>
        <xdr:to>
          <xdr:col>4</xdr:col>
          <xdr:colOff>175260</xdr:colOff>
          <xdr:row>16</xdr:row>
          <xdr:rowOff>0</xdr:rowOff>
        </xdr:to>
        <xdr:sp macro="" textlink="">
          <xdr:nvSpPr>
            <xdr:cNvPr id="8205" name="Spinner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1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16</xdr:row>
          <xdr:rowOff>7620</xdr:rowOff>
        </xdr:from>
        <xdr:to>
          <xdr:col>4</xdr:col>
          <xdr:colOff>175260</xdr:colOff>
          <xdr:row>17</xdr:row>
          <xdr:rowOff>0</xdr:rowOff>
        </xdr:to>
        <xdr:sp macro="" textlink="">
          <xdr:nvSpPr>
            <xdr:cNvPr id="8206" name="Spinner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1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18</xdr:row>
          <xdr:rowOff>7620</xdr:rowOff>
        </xdr:from>
        <xdr:to>
          <xdr:col>4</xdr:col>
          <xdr:colOff>175260</xdr:colOff>
          <xdr:row>19</xdr:row>
          <xdr:rowOff>0</xdr:rowOff>
        </xdr:to>
        <xdr:sp macro="" textlink="">
          <xdr:nvSpPr>
            <xdr:cNvPr id="8207" name="Spinner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1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17</xdr:row>
          <xdr:rowOff>251460</xdr:rowOff>
        </xdr:from>
        <xdr:to>
          <xdr:col>2</xdr:col>
          <xdr:colOff>144780</xdr:colOff>
          <xdr:row>18</xdr:row>
          <xdr:rowOff>236220</xdr:rowOff>
        </xdr:to>
        <xdr:sp macro="" textlink="">
          <xdr:nvSpPr>
            <xdr:cNvPr id="8208" name="Spinner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1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3</xdr:row>
          <xdr:rowOff>7620</xdr:rowOff>
        </xdr:from>
        <xdr:to>
          <xdr:col>2</xdr:col>
          <xdr:colOff>175260</xdr:colOff>
          <xdr:row>4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4</xdr:row>
          <xdr:rowOff>7620</xdr:rowOff>
        </xdr:from>
        <xdr:to>
          <xdr:col>2</xdr:col>
          <xdr:colOff>175260</xdr:colOff>
          <xdr:row>5</xdr:row>
          <xdr:rowOff>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6</xdr:row>
          <xdr:rowOff>7620</xdr:rowOff>
        </xdr:from>
        <xdr:to>
          <xdr:col>2</xdr:col>
          <xdr:colOff>175260</xdr:colOff>
          <xdr:row>7</xdr:row>
          <xdr:rowOff>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9</xdr:row>
          <xdr:rowOff>7620</xdr:rowOff>
        </xdr:from>
        <xdr:to>
          <xdr:col>2</xdr:col>
          <xdr:colOff>175260</xdr:colOff>
          <xdr:row>10</xdr:row>
          <xdr:rowOff>0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10</xdr:row>
          <xdr:rowOff>7620</xdr:rowOff>
        </xdr:from>
        <xdr:to>
          <xdr:col>2</xdr:col>
          <xdr:colOff>175260</xdr:colOff>
          <xdr:row>11</xdr:row>
          <xdr:rowOff>0</xdr:rowOff>
        </xdr:to>
        <xdr:sp macro="" textlink="">
          <xdr:nvSpPr>
            <xdr:cNvPr id="1029" name="Spinne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14</xdr:row>
          <xdr:rowOff>7620</xdr:rowOff>
        </xdr:from>
        <xdr:to>
          <xdr:col>2</xdr:col>
          <xdr:colOff>175260</xdr:colOff>
          <xdr:row>15</xdr:row>
          <xdr:rowOff>0</xdr:rowOff>
        </xdr:to>
        <xdr:sp macro="" textlink="">
          <xdr:nvSpPr>
            <xdr:cNvPr id="1030" name="Spinne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15</xdr:row>
          <xdr:rowOff>7620</xdr:rowOff>
        </xdr:from>
        <xdr:to>
          <xdr:col>2</xdr:col>
          <xdr:colOff>175260</xdr:colOff>
          <xdr:row>16</xdr:row>
          <xdr:rowOff>0</xdr:rowOff>
        </xdr:to>
        <xdr:sp macro="" textlink="">
          <xdr:nvSpPr>
            <xdr:cNvPr id="1031" name="Spinner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16</xdr:row>
          <xdr:rowOff>7620</xdr:rowOff>
        </xdr:from>
        <xdr:to>
          <xdr:col>2</xdr:col>
          <xdr:colOff>175260</xdr:colOff>
          <xdr:row>17</xdr:row>
          <xdr:rowOff>0</xdr:rowOff>
        </xdr:to>
        <xdr:sp macro="" textlink="">
          <xdr:nvSpPr>
            <xdr:cNvPr id="1032" name="Spinner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15</xdr:row>
          <xdr:rowOff>7620</xdr:rowOff>
        </xdr:from>
        <xdr:to>
          <xdr:col>2</xdr:col>
          <xdr:colOff>175260</xdr:colOff>
          <xdr:row>16</xdr:row>
          <xdr:rowOff>0</xdr:rowOff>
        </xdr:to>
        <xdr:sp macro="" textlink="">
          <xdr:nvSpPr>
            <xdr:cNvPr id="1033" name="Spinner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16</xdr:row>
          <xdr:rowOff>7620</xdr:rowOff>
        </xdr:from>
        <xdr:to>
          <xdr:col>2</xdr:col>
          <xdr:colOff>175260</xdr:colOff>
          <xdr:row>17</xdr:row>
          <xdr:rowOff>0</xdr:rowOff>
        </xdr:to>
        <xdr:sp macro="" textlink="">
          <xdr:nvSpPr>
            <xdr:cNvPr id="1034" name="Spinner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2</xdr:row>
          <xdr:rowOff>7620</xdr:rowOff>
        </xdr:from>
        <xdr:to>
          <xdr:col>2</xdr:col>
          <xdr:colOff>175260</xdr:colOff>
          <xdr:row>3</xdr:row>
          <xdr:rowOff>0</xdr:rowOff>
        </xdr:to>
        <xdr:sp macro="" textlink="">
          <xdr:nvSpPr>
            <xdr:cNvPr id="1035" name="Spinner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14</xdr:row>
          <xdr:rowOff>7620</xdr:rowOff>
        </xdr:from>
        <xdr:to>
          <xdr:col>4</xdr:col>
          <xdr:colOff>175260</xdr:colOff>
          <xdr:row>15</xdr:row>
          <xdr:rowOff>0</xdr:rowOff>
        </xdr:to>
        <xdr:sp macro="" textlink="">
          <xdr:nvSpPr>
            <xdr:cNvPr id="1036" name="Spinner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15</xdr:row>
          <xdr:rowOff>7620</xdr:rowOff>
        </xdr:from>
        <xdr:to>
          <xdr:col>4</xdr:col>
          <xdr:colOff>175260</xdr:colOff>
          <xdr:row>16</xdr:row>
          <xdr:rowOff>0</xdr:rowOff>
        </xdr:to>
        <xdr:sp macro="" textlink="">
          <xdr:nvSpPr>
            <xdr:cNvPr id="1037" name="Spinner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2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16</xdr:row>
          <xdr:rowOff>7620</xdr:rowOff>
        </xdr:from>
        <xdr:to>
          <xdr:col>4</xdr:col>
          <xdr:colOff>175260</xdr:colOff>
          <xdr:row>17</xdr:row>
          <xdr:rowOff>0</xdr:rowOff>
        </xdr:to>
        <xdr:sp macro="" textlink="">
          <xdr:nvSpPr>
            <xdr:cNvPr id="1038" name="Spinner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2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18</xdr:row>
          <xdr:rowOff>7620</xdr:rowOff>
        </xdr:from>
        <xdr:to>
          <xdr:col>4</xdr:col>
          <xdr:colOff>175260</xdr:colOff>
          <xdr:row>19</xdr:row>
          <xdr:rowOff>0</xdr:rowOff>
        </xdr:to>
        <xdr:sp macro="" textlink="">
          <xdr:nvSpPr>
            <xdr:cNvPr id="1039" name="Spinner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2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18</xdr:row>
          <xdr:rowOff>22860</xdr:rowOff>
        </xdr:from>
        <xdr:to>
          <xdr:col>2</xdr:col>
          <xdr:colOff>160020</xdr:colOff>
          <xdr:row>18</xdr:row>
          <xdr:rowOff>251460</xdr:rowOff>
        </xdr:to>
        <xdr:sp macro="" textlink="">
          <xdr:nvSpPr>
            <xdr:cNvPr id="1040" name="Spinner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2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3</xdr:row>
          <xdr:rowOff>7620</xdr:rowOff>
        </xdr:from>
        <xdr:to>
          <xdr:col>2</xdr:col>
          <xdr:colOff>175260</xdr:colOff>
          <xdr:row>4</xdr:row>
          <xdr:rowOff>0</xdr:rowOff>
        </xdr:to>
        <xdr:sp macro="" textlink="">
          <xdr:nvSpPr>
            <xdr:cNvPr id="7169" name="Spinne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4</xdr:row>
          <xdr:rowOff>7620</xdr:rowOff>
        </xdr:from>
        <xdr:to>
          <xdr:col>2</xdr:col>
          <xdr:colOff>175260</xdr:colOff>
          <xdr:row>5</xdr:row>
          <xdr:rowOff>0</xdr:rowOff>
        </xdr:to>
        <xdr:sp macro="" textlink="">
          <xdr:nvSpPr>
            <xdr:cNvPr id="7170" name="Spinne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3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6</xdr:row>
          <xdr:rowOff>7620</xdr:rowOff>
        </xdr:from>
        <xdr:to>
          <xdr:col>2</xdr:col>
          <xdr:colOff>175260</xdr:colOff>
          <xdr:row>7</xdr:row>
          <xdr:rowOff>0</xdr:rowOff>
        </xdr:to>
        <xdr:sp macro="" textlink="">
          <xdr:nvSpPr>
            <xdr:cNvPr id="7171" name="Spinner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3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9</xdr:row>
          <xdr:rowOff>7620</xdr:rowOff>
        </xdr:from>
        <xdr:to>
          <xdr:col>2</xdr:col>
          <xdr:colOff>175260</xdr:colOff>
          <xdr:row>10</xdr:row>
          <xdr:rowOff>0</xdr:rowOff>
        </xdr:to>
        <xdr:sp macro="" textlink="">
          <xdr:nvSpPr>
            <xdr:cNvPr id="7172" name="Spinne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3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10</xdr:row>
          <xdr:rowOff>7620</xdr:rowOff>
        </xdr:from>
        <xdr:to>
          <xdr:col>2</xdr:col>
          <xdr:colOff>175260</xdr:colOff>
          <xdr:row>11</xdr:row>
          <xdr:rowOff>0</xdr:rowOff>
        </xdr:to>
        <xdr:sp macro="" textlink="">
          <xdr:nvSpPr>
            <xdr:cNvPr id="7173" name="Spinner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3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14</xdr:row>
          <xdr:rowOff>0</xdr:rowOff>
        </xdr:from>
        <xdr:to>
          <xdr:col>2</xdr:col>
          <xdr:colOff>175260</xdr:colOff>
          <xdr:row>14</xdr:row>
          <xdr:rowOff>0</xdr:rowOff>
        </xdr:to>
        <xdr:sp macro="" textlink="">
          <xdr:nvSpPr>
            <xdr:cNvPr id="7174" name="Spinner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3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14</xdr:row>
          <xdr:rowOff>7620</xdr:rowOff>
        </xdr:from>
        <xdr:to>
          <xdr:col>2</xdr:col>
          <xdr:colOff>175260</xdr:colOff>
          <xdr:row>15</xdr:row>
          <xdr:rowOff>0</xdr:rowOff>
        </xdr:to>
        <xdr:sp macro="" textlink="">
          <xdr:nvSpPr>
            <xdr:cNvPr id="7175" name="Spinner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3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15</xdr:row>
          <xdr:rowOff>7620</xdr:rowOff>
        </xdr:from>
        <xdr:to>
          <xdr:col>2</xdr:col>
          <xdr:colOff>175260</xdr:colOff>
          <xdr:row>16</xdr:row>
          <xdr:rowOff>0</xdr:rowOff>
        </xdr:to>
        <xdr:sp macro="" textlink="">
          <xdr:nvSpPr>
            <xdr:cNvPr id="7176" name="Spinner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3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14</xdr:row>
          <xdr:rowOff>7620</xdr:rowOff>
        </xdr:from>
        <xdr:to>
          <xdr:col>2</xdr:col>
          <xdr:colOff>175260</xdr:colOff>
          <xdr:row>15</xdr:row>
          <xdr:rowOff>0</xdr:rowOff>
        </xdr:to>
        <xdr:sp macro="" textlink="">
          <xdr:nvSpPr>
            <xdr:cNvPr id="7177" name="Spinner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3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15</xdr:row>
          <xdr:rowOff>7620</xdr:rowOff>
        </xdr:from>
        <xdr:to>
          <xdr:col>2</xdr:col>
          <xdr:colOff>175260</xdr:colOff>
          <xdr:row>16</xdr:row>
          <xdr:rowOff>0</xdr:rowOff>
        </xdr:to>
        <xdr:sp macro="" textlink="">
          <xdr:nvSpPr>
            <xdr:cNvPr id="7178" name="Spinner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3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2</xdr:row>
          <xdr:rowOff>7620</xdr:rowOff>
        </xdr:from>
        <xdr:to>
          <xdr:col>2</xdr:col>
          <xdr:colOff>175260</xdr:colOff>
          <xdr:row>3</xdr:row>
          <xdr:rowOff>0</xdr:rowOff>
        </xdr:to>
        <xdr:sp macro="" textlink="">
          <xdr:nvSpPr>
            <xdr:cNvPr id="7179" name="Spinner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3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14</xdr:row>
          <xdr:rowOff>0</xdr:rowOff>
        </xdr:from>
        <xdr:to>
          <xdr:col>4</xdr:col>
          <xdr:colOff>175260</xdr:colOff>
          <xdr:row>14</xdr:row>
          <xdr:rowOff>0</xdr:rowOff>
        </xdr:to>
        <xdr:sp macro="" textlink="">
          <xdr:nvSpPr>
            <xdr:cNvPr id="7180" name="Spinner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3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14</xdr:row>
          <xdr:rowOff>7620</xdr:rowOff>
        </xdr:from>
        <xdr:to>
          <xdr:col>4</xdr:col>
          <xdr:colOff>175260</xdr:colOff>
          <xdr:row>15</xdr:row>
          <xdr:rowOff>0</xdr:rowOff>
        </xdr:to>
        <xdr:sp macro="" textlink="">
          <xdr:nvSpPr>
            <xdr:cNvPr id="7181" name="Spinner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3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15</xdr:row>
          <xdr:rowOff>7620</xdr:rowOff>
        </xdr:from>
        <xdr:to>
          <xdr:col>4</xdr:col>
          <xdr:colOff>175260</xdr:colOff>
          <xdr:row>16</xdr:row>
          <xdr:rowOff>0</xdr:rowOff>
        </xdr:to>
        <xdr:sp macro="" textlink="">
          <xdr:nvSpPr>
            <xdr:cNvPr id="7182" name="Spinner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3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20</xdr:row>
          <xdr:rowOff>7620</xdr:rowOff>
        </xdr:from>
        <xdr:to>
          <xdr:col>4</xdr:col>
          <xdr:colOff>175260</xdr:colOff>
          <xdr:row>21</xdr:row>
          <xdr:rowOff>0</xdr:rowOff>
        </xdr:to>
        <xdr:sp macro="" textlink="">
          <xdr:nvSpPr>
            <xdr:cNvPr id="7183" name="Spinner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3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20</xdr:row>
          <xdr:rowOff>22860</xdr:rowOff>
        </xdr:from>
        <xdr:to>
          <xdr:col>2</xdr:col>
          <xdr:colOff>160020</xdr:colOff>
          <xdr:row>20</xdr:row>
          <xdr:rowOff>251460</xdr:rowOff>
        </xdr:to>
        <xdr:sp macro="" textlink="">
          <xdr:nvSpPr>
            <xdr:cNvPr id="7184" name="Spinner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3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16</xdr:row>
          <xdr:rowOff>7620</xdr:rowOff>
        </xdr:from>
        <xdr:to>
          <xdr:col>2</xdr:col>
          <xdr:colOff>175260</xdr:colOff>
          <xdr:row>17</xdr:row>
          <xdr:rowOff>0</xdr:rowOff>
        </xdr:to>
        <xdr:sp macro="" textlink="">
          <xdr:nvSpPr>
            <xdr:cNvPr id="7185" name="Spinner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3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17</xdr:row>
          <xdr:rowOff>7620</xdr:rowOff>
        </xdr:from>
        <xdr:to>
          <xdr:col>2</xdr:col>
          <xdr:colOff>175260</xdr:colOff>
          <xdr:row>18</xdr:row>
          <xdr:rowOff>0</xdr:rowOff>
        </xdr:to>
        <xdr:sp macro="" textlink="">
          <xdr:nvSpPr>
            <xdr:cNvPr id="7186" name="Spinner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3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18</xdr:row>
          <xdr:rowOff>7620</xdr:rowOff>
        </xdr:from>
        <xdr:to>
          <xdr:col>2</xdr:col>
          <xdr:colOff>175260</xdr:colOff>
          <xdr:row>19</xdr:row>
          <xdr:rowOff>0</xdr:rowOff>
        </xdr:to>
        <xdr:sp macro="" textlink="">
          <xdr:nvSpPr>
            <xdr:cNvPr id="7187" name="Spinner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3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17</xdr:row>
          <xdr:rowOff>7620</xdr:rowOff>
        </xdr:from>
        <xdr:to>
          <xdr:col>2</xdr:col>
          <xdr:colOff>175260</xdr:colOff>
          <xdr:row>18</xdr:row>
          <xdr:rowOff>0</xdr:rowOff>
        </xdr:to>
        <xdr:sp macro="" textlink="">
          <xdr:nvSpPr>
            <xdr:cNvPr id="7188" name="Spinner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3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18</xdr:row>
          <xdr:rowOff>7620</xdr:rowOff>
        </xdr:from>
        <xdr:to>
          <xdr:col>2</xdr:col>
          <xdr:colOff>175260</xdr:colOff>
          <xdr:row>19</xdr:row>
          <xdr:rowOff>0</xdr:rowOff>
        </xdr:to>
        <xdr:sp macro="" textlink="">
          <xdr:nvSpPr>
            <xdr:cNvPr id="7189" name="Spinner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3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16</xdr:row>
          <xdr:rowOff>7620</xdr:rowOff>
        </xdr:from>
        <xdr:to>
          <xdr:col>4</xdr:col>
          <xdr:colOff>175260</xdr:colOff>
          <xdr:row>17</xdr:row>
          <xdr:rowOff>0</xdr:rowOff>
        </xdr:to>
        <xdr:sp macro="" textlink="">
          <xdr:nvSpPr>
            <xdr:cNvPr id="7190" name="Spinner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3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17</xdr:row>
          <xdr:rowOff>7620</xdr:rowOff>
        </xdr:from>
        <xdr:to>
          <xdr:col>4</xdr:col>
          <xdr:colOff>175260</xdr:colOff>
          <xdr:row>18</xdr:row>
          <xdr:rowOff>0</xdr:rowOff>
        </xdr:to>
        <xdr:sp macro="" textlink="">
          <xdr:nvSpPr>
            <xdr:cNvPr id="7191" name="Spinner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3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18</xdr:row>
          <xdr:rowOff>7620</xdr:rowOff>
        </xdr:from>
        <xdr:to>
          <xdr:col>4</xdr:col>
          <xdr:colOff>175260</xdr:colOff>
          <xdr:row>19</xdr:row>
          <xdr:rowOff>0</xdr:rowOff>
        </xdr:to>
        <xdr:sp macro="" textlink="">
          <xdr:nvSpPr>
            <xdr:cNvPr id="7192" name="Spinner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3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19</xdr:row>
          <xdr:rowOff>7620</xdr:rowOff>
        </xdr:from>
        <xdr:to>
          <xdr:col>4</xdr:col>
          <xdr:colOff>175260</xdr:colOff>
          <xdr:row>20</xdr:row>
          <xdr:rowOff>0</xdr:rowOff>
        </xdr:to>
        <xdr:sp macro="" textlink="">
          <xdr:nvSpPr>
            <xdr:cNvPr id="7193" name="Spinner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3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19</xdr:row>
          <xdr:rowOff>0</xdr:rowOff>
        </xdr:from>
        <xdr:to>
          <xdr:col>2</xdr:col>
          <xdr:colOff>144780</xdr:colOff>
          <xdr:row>19</xdr:row>
          <xdr:rowOff>236220</xdr:rowOff>
        </xdr:to>
        <xdr:sp macro="" textlink="">
          <xdr:nvSpPr>
            <xdr:cNvPr id="7194" name="Spinner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3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18</xdr:row>
          <xdr:rowOff>7620</xdr:rowOff>
        </xdr:from>
        <xdr:to>
          <xdr:col>2</xdr:col>
          <xdr:colOff>175260</xdr:colOff>
          <xdr:row>19</xdr:row>
          <xdr:rowOff>0</xdr:rowOff>
        </xdr:to>
        <xdr:sp macro="" textlink="">
          <xdr:nvSpPr>
            <xdr:cNvPr id="7195" name="Spinner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3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18</xdr:row>
          <xdr:rowOff>7620</xdr:rowOff>
        </xdr:from>
        <xdr:to>
          <xdr:col>2</xdr:col>
          <xdr:colOff>175260</xdr:colOff>
          <xdr:row>19</xdr:row>
          <xdr:rowOff>0</xdr:rowOff>
        </xdr:to>
        <xdr:sp macro="" textlink="">
          <xdr:nvSpPr>
            <xdr:cNvPr id="7196" name="Spinner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3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10</xdr:row>
          <xdr:rowOff>7620</xdr:rowOff>
        </xdr:from>
        <xdr:to>
          <xdr:col>2</xdr:col>
          <xdr:colOff>175260</xdr:colOff>
          <xdr:row>11</xdr:row>
          <xdr:rowOff>0</xdr:rowOff>
        </xdr:to>
        <xdr:sp macro="" textlink="">
          <xdr:nvSpPr>
            <xdr:cNvPr id="7197" name="Spinner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3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1.xml"/><Relationship Id="rId13" Type="http://schemas.openxmlformats.org/officeDocument/2006/relationships/ctrlProp" Target="../ctrlProps/ctrlProp26.xml"/><Relationship Id="rId18" Type="http://schemas.openxmlformats.org/officeDocument/2006/relationships/ctrlProp" Target="../ctrlProps/ctrlProp3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0.xml"/><Relationship Id="rId12" Type="http://schemas.openxmlformats.org/officeDocument/2006/relationships/ctrlProp" Target="../ctrlProps/ctrlProp25.xml"/><Relationship Id="rId17" Type="http://schemas.openxmlformats.org/officeDocument/2006/relationships/ctrlProp" Target="../ctrlProps/ctrlProp3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9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9.xml"/><Relationship Id="rId11" Type="http://schemas.openxmlformats.org/officeDocument/2006/relationships/ctrlProp" Target="../ctrlProps/ctrlProp24.xml"/><Relationship Id="rId5" Type="http://schemas.openxmlformats.org/officeDocument/2006/relationships/ctrlProp" Target="../ctrlProps/ctrlProp18.xml"/><Relationship Id="rId15" Type="http://schemas.openxmlformats.org/officeDocument/2006/relationships/ctrlProp" Target="../ctrlProps/ctrlProp28.xml"/><Relationship Id="rId10" Type="http://schemas.openxmlformats.org/officeDocument/2006/relationships/ctrlProp" Target="../ctrlProps/ctrlProp23.xml"/><Relationship Id="rId19" Type="http://schemas.openxmlformats.org/officeDocument/2006/relationships/ctrlProp" Target="../ctrlProps/ctrlProp32.xml"/><Relationship Id="rId4" Type="http://schemas.openxmlformats.org/officeDocument/2006/relationships/ctrlProp" Target="../ctrlProps/ctrlProp17.xml"/><Relationship Id="rId9" Type="http://schemas.openxmlformats.org/officeDocument/2006/relationships/ctrlProp" Target="../ctrlProps/ctrlProp22.xml"/><Relationship Id="rId14" Type="http://schemas.openxmlformats.org/officeDocument/2006/relationships/ctrlProp" Target="../ctrlProps/ctrlProp2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7.xml"/><Relationship Id="rId13" Type="http://schemas.openxmlformats.org/officeDocument/2006/relationships/ctrlProp" Target="../ctrlProps/ctrlProp42.xml"/><Relationship Id="rId18" Type="http://schemas.openxmlformats.org/officeDocument/2006/relationships/ctrlProp" Target="../ctrlProps/ctrlProp47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6.xml"/><Relationship Id="rId12" Type="http://schemas.openxmlformats.org/officeDocument/2006/relationships/ctrlProp" Target="../ctrlProps/ctrlProp41.xml"/><Relationship Id="rId17" Type="http://schemas.openxmlformats.org/officeDocument/2006/relationships/ctrlProp" Target="../ctrlProps/ctrlProp4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5.xml"/><Relationship Id="rId11" Type="http://schemas.openxmlformats.org/officeDocument/2006/relationships/ctrlProp" Target="../ctrlProps/ctrlProp40.xml"/><Relationship Id="rId5" Type="http://schemas.openxmlformats.org/officeDocument/2006/relationships/ctrlProp" Target="../ctrlProps/ctrlProp34.xml"/><Relationship Id="rId15" Type="http://schemas.openxmlformats.org/officeDocument/2006/relationships/ctrlProp" Target="../ctrlProps/ctrlProp44.xml"/><Relationship Id="rId10" Type="http://schemas.openxmlformats.org/officeDocument/2006/relationships/ctrlProp" Target="../ctrlProps/ctrlProp39.xml"/><Relationship Id="rId19" Type="http://schemas.openxmlformats.org/officeDocument/2006/relationships/ctrlProp" Target="../ctrlProps/ctrlProp48.xml"/><Relationship Id="rId4" Type="http://schemas.openxmlformats.org/officeDocument/2006/relationships/ctrlProp" Target="../ctrlProps/ctrlProp33.xml"/><Relationship Id="rId9" Type="http://schemas.openxmlformats.org/officeDocument/2006/relationships/ctrlProp" Target="../ctrlProps/ctrlProp38.xml"/><Relationship Id="rId14" Type="http://schemas.openxmlformats.org/officeDocument/2006/relationships/ctrlProp" Target="../ctrlProps/ctrlProp4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3.xml"/><Relationship Id="rId13" Type="http://schemas.openxmlformats.org/officeDocument/2006/relationships/ctrlProp" Target="../ctrlProps/ctrlProp58.xml"/><Relationship Id="rId18" Type="http://schemas.openxmlformats.org/officeDocument/2006/relationships/ctrlProp" Target="../ctrlProps/ctrlProp63.xml"/><Relationship Id="rId26" Type="http://schemas.openxmlformats.org/officeDocument/2006/relationships/ctrlProp" Target="../ctrlProps/ctrlProp71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66.xml"/><Relationship Id="rId7" Type="http://schemas.openxmlformats.org/officeDocument/2006/relationships/ctrlProp" Target="../ctrlProps/ctrlProp52.xml"/><Relationship Id="rId12" Type="http://schemas.openxmlformats.org/officeDocument/2006/relationships/ctrlProp" Target="../ctrlProps/ctrlProp57.xml"/><Relationship Id="rId17" Type="http://schemas.openxmlformats.org/officeDocument/2006/relationships/ctrlProp" Target="../ctrlProps/ctrlProp62.xml"/><Relationship Id="rId25" Type="http://schemas.openxmlformats.org/officeDocument/2006/relationships/ctrlProp" Target="../ctrlProps/ctrlProp70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61.xml"/><Relationship Id="rId20" Type="http://schemas.openxmlformats.org/officeDocument/2006/relationships/ctrlProp" Target="../ctrlProps/ctrlProp65.xml"/><Relationship Id="rId29" Type="http://schemas.openxmlformats.org/officeDocument/2006/relationships/ctrlProp" Target="../ctrlProps/ctrlProp7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51.xml"/><Relationship Id="rId11" Type="http://schemas.openxmlformats.org/officeDocument/2006/relationships/ctrlProp" Target="../ctrlProps/ctrlProp56.xml"/><Relationship Id="rId24" Type="http://schemas.openxmlformats.org/officeDocument/2006/relationships/ctrlProp" Target="../ctrlProps/ctrlProp69.xml"/><Relationship Id="rId32" Type="http://schemas.openxmlformats.org/officeDocument/2006/relationships/ctrlProp" Target="../ctrlProps/ctrlProp77.xml"/><Relationship Id="rId5" Type="http://schemas.openxmlformats.org/officeDocument/2006/relationships/ctrlProp" Target="../ctrlProps/ctrlProp50.xml"/><Relationship Id="rId15" Type="http://schemas.openxmlformats.org/officeDocument/2006/relationships/ctrlProp" Target="../ctrlProps/ctrlProp60.xml"/><Relationship Id="rId23" Type="http://schemas.openxmlformats.org/officeDocument/2006/relationships/ctrlProp" Target="../ctrlProps/ctrlProp68.xml"/><Relationship Id="rId28" Type="http://schemas.openxmlformats.org/officeDocument/2006/relationships/ctrlProp" Target="../ctrlProps/ctrlProp73.xml"/><Relationship Id="rId10" Type="http://schemas.openxmlformats.org/officeDocument/2006/relationships/ctrlProp" Target="../ctrlProps/ctrlProp55.xml"/><Relationship Id="rId19" Type="http://schemas.openxmlformats.org/officeDocument/2006/relationships/ctrlProp" Target="../ctrlProps/ctrlProp64.xml"/><Relationship Id="rId31" Type="http://schemas.openxmlformats.org/officeDocument/2006/relationships/ctrlProp" Target="../ctrlProps/ctrlProp76.xml"/><Relationship Id="rId4" Type="http://schemas.openxmlformats.org/officeDocument/2006/relationships/ctrlProp" Target="../ctrlProps/ctrlProp49.xml"/><Relationship Id="rId9" Type="http://schemas.openxmlformats.org/officeDocument/2006/relationships/ctrlProp" Target="../ctrlProps/ctrlProp54.xml"/><Relationship Id="rId14" Type="http://schemas.openxmlformats.org/officeDocument/2006/relationships/ctrlProp" Target="../ctrlProps/ctrlProp59.xml"/><Relationship Id="rId22" Type="http://schemas.openxmlformats.org/officeDocument/2006/relationships/ctrlProp" Target="../ctrlProps/ctrlProp67.xml"/><Relationship Id="rId27" Type="http://schemas.openxmlformats.org/officeDocument/2006/relationships/ctrlProp" Target="../ctrlProps/ctrlProp72.xml"/><Relationship Id="rId30" Type="http://schemas.openxmlformats.org/officeDocument/2006/relationships/ctrlProp" Target="../ctrlProps/ctrlProp7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="74" zoomScaleNormal="100" workbookViewId="0">
      <selection activeCell="G24" sqref="G24"/>
    </sheetView>
  </sheetViews>
  <sheetFormatPr baseColWidth="10" defaultColWidth="11.44140625" defaultRowHeight="17.399999999999999" x14ac:dyDescent="0.3"/>
  <cols>
    <col min="1" max="1" width="31.33203125" style="1" customWidth="1"/>
    <col min="2" max="2" width="3.6640625" style="1" hidden="1" customWidth="1"/>
    <col min="3" max="3" width="14.109375" style="1" customWidth="1"/>
    <col min="4" max="4" width="10.6640625" style="1" bestFit="1" customWidth="1"/>
    <col min="5" max="5" width="13.6640625" style="1" customWidth="1"/>
    <col min="6" max="6" width="13.44140625" style="1" customWidth="1"/>
    <col min="7" max="7" width="21.33203125" style="1" customWidth="1"/>
    <col min="8" max="8" width="24.5546875" style="1" customWidth="1"/>
    <col min="9" max="9" width="15.44140625" style="1" hidden="1" customWidth="1"/>
    <col min="10" max="10" width="0" style="1" hidden="1" customWidth="1"/>
    <col min="11" max="11" width="18.6640625" style="1" hidden="1" customWidth="1"/>
    <col min="12" max="12" width="11.44140625" style="1"/>
    <col min="13" max="13" width="12.6640625" style="1" bestFit="1" customWidth="1"/>
    <col min="14" max="16384" width="11.44140625" style="1"/>
  </cols>
  <sheetData>
    <row r="1" spans="1:15" ht="21" x14ac:dyDescent="0.4">
      <c r="A1" s="59" t="s">
        <v>46</v>
      </c>
      <c r="B1" s="59"/>
      <c r="C1" s="59"/>
      <c r="D1" s="59"/>
      <c r="E1" s="59"/>
      <c r="F1" s="59"/>
      <c r="G1" s="59"/>
      <c r="H1" s="59"/>
    </row>
    <row r="2" spans="1:15" ht="20.399999999999999" x14ac:dyDescent="0.35">
      <c r="A2" s="38"/>
      <c r="B2" s="38"/>
      <c r="C2" s="38"/>
      <c r="D2" s="38"/>
      <c r="E2" s="38"/>
      <c r="F2" s="38"/>
      <c r="G2" s="38"/>
      <c r="H2" s="38"/>
    </row>
    <row r="3" spans="1:15" ht="20.399999999999999" x14ac:dyDescent="0.35">
      <c r="A3" s="2" t="s">
        <v>1</v>
      </c>
      <c r="B3" s="2"/>
      <c r="C3" s="3">
        <v>100</v>
      </c>
      <c r="D3" s="38"/>
      <c r="E3" s="60"/>
      <c r="F3" s="60"/>
      <c r="G3" s="4" t="s">
        <v>2</v>
      </c>
      <c r="H3" s="2" t="s">
        <v>3</v>
      </c>
    </row>
    <row r="4" spans="1:15" ht="20.399999999999999" x14ac:dyDescent="0.35">
      <c r="A4" s="2" t="s">
        <v>4</v>
      </c>
      <c r="B4" s="2"/>
      <c r="C4" s="3">
        <v>40</v>
      </c>
      <c r="D4" s="38"/>
      <c r="E4" s="57" t="s">
        <v>5</v>
      </c>
      <c r="F4" s="57"/>
      <c r="G4" s="5">
        <f>C5*C11*(1-C12)</f>
        <v>294400</v>
      </c>
      <c r="H4" s="5">
        <f>+G4*$C$3</f>
        <v>29440000</v>
      </c>
    </row>
    <row r="5" spans="1:15" ht="20.399999999999999" x14ac:dyDescent="0.35">
      <c r="A5" s="2" t="s">
        <v>6</v>
      </c>
      <c r="B5" s="2"/>
      <c r="C5" s="3">
        <v>80</v>
      </c>
      <c r="D5" s="38"/>
      <c r="E5" s="57" t="s">
        <v>7</v>
      </c>
      <c r="F5" s="57"/>
      <c r="G5" s="5">
        <f>-F20*C8</f>
        <v>-148579.02097902098</v>
      </c>
      <c r="H5" s="5">
        <f>+G5*$C$3</f>
        <v>-14857902.097902097</v>
      </c>
    </row>
    <row r="6" spans="1:15" ht="20.399999999999999" x14ac:dyDescent="0.35">
      <c r="A6" s="2" t="s">
        <v>8</v>
      </c>
      <c r="B6" s="2"/>
      <c r="C6" s="5">
        <f>(C5+C4)/2</f>
        <v>60</v>
      </c>
      <c r="D6" s="38"/>
      <c r="E6" s="57" t="s">
        <v>9</v>
      </c>
      <c r="F6" s="57"/>
      <c r="G6" s="2">
        <f>-C4*C10</f>
        <v>-100000</v>
      </c>
      <c r="H6" s="19">
        <f>+G6*$C$3</f>
        <v>-10000000</v>
      </c>
      <c r="J6" s="6">
        <v>39859</v>
      </c>
      <c r="K6" s="1">
        <v>95</v>
      </c>
    </row>
    <row r="7" spans="1:15" ht="20.399999999999999" x14ac:dyDescent="0.35">
      <c r="A7" s="2" t="s">
        <v>10</v>
      </c>
      <c r="B7" s="2"/>
      <c r="C7" s="3">
        <f>+D7/20</f>
        <v>0.65</v>
      </c>
      <c r="D7" s="39">
        <v>13</v>
      </c>
      <c r="E7" s="57" t="s">
        <v>11</v>
      </c>
      <c r="F7" s="57"/>
      <c r="G7" s="5">
        <f>-H7/C3</f>
        <v>0</v>
      </c>
      <c r="H7" s="7"/>
      <c r="J7" s="6">
        <v>39892</v>
      </c>
      <c r="K7" s="1">
        <v>122</v>
      </c>
      <c r="O7" s="8"/>
    </row>
    <row r="8" spans="1:15" ht="20.399999999999999" x14ac:dyDescent="0.35">
      <c r="A8" s="2" t="s">
        <v>12</v>
      </c>
      <c r="B8" s="2"/>
      <c r="C8" s="5">
        <f>(C5-C4)/C7</f>
        <v>61.538461538461533</v>
      </c>
      <c r="D8" s="38"/>
      <c r="E8" s="57" t="s">
        <v>13</v>
      </c>
      <c r="F8" s="57"/>
      <c r="G8" s="5">
        <f>H8/C3</f>
        <v>-12307.692307692307</v>
      </c>
      <c r="H8" s="45">
        <f>1200000/30/2*C8*-1</f>
        <v>-1230769.2307692308</v>
      </c>
      <c r="K8" s="1">
        <f>+(K7-K6)/(J7-J6)</f>
        <v>0.81818181818181823</v>
      </c>
      <c r="O8" s="8"/>
    </row>
    <row r="9" spans="1:15" ht="20.399999999999999" x14ac:dyDescent="0.35">
      <c r="A9" s="2" t="s">
        <v>14</v>
      </c>
      <c r="B9" s="2"/>
      <c r="C9" s="9">
        <v>0.03</v>
      </c>
      <c r="D9" s="39">
        <v>28</v>
      </c>
      <c r="E9" s="36" t="s">
        <v>26</v>
      </c>
      <c r="F9" s="36"/>
      <c r="G9" s="5">
        <f>+H9/C3</f>
        <v>-8000</v>
      </c>
      <c r="H9" s="45">
        <f>-8000*C3</f>
        <v>-800000</v>
      </c>
      <c r="O9" s="8"/>
    </row>
    <row r="10" spans="1:15" ht="21" x14ac:dyDescent="0.4">
      <c r="A10" s="2" t="s">
        <v>34</v>
      </c>
      <c r="B10" s="2"/>
      <c r="C10" s="11">
        <f>100000/40</f>
        <v>2500</v>
      </c>
      <c r="D10" s="39">
        <v>2381</v>
      </c>
      <c r="E10" s="58" t="s">
        <v>15</v>
      </c>
      <c r="F10" s="58"/>
      <c r="G10" s="46">
        <f>SUM(G4:G9)</f>
        <v>25513.286713286718</v>
      </c>
      <c r="H10" s="46">
        <f>+G10*$C$3</f>
        <v>2551328.6713286717</v>
      </c>
      <c r="L10" s="35"/>
      <c r="M10" s="44"/>
    </row>
    <row r="11" spans="1:15" ht="20.399999999999999" x14ac:dyDescent="0.35">
      <c r="A11" s="2" t="s">
        <v>33</v>
      </c>
      <c r="B11" s="2"/>
      <c r="C11" s="11">
        <v>4000</v>
      </c>
      <c r="D11" s="39">
        <v>15003</v>
      </c>
      <c r="E11" s="47" t="s">
        <v>16</v>
      </c>
      <c r="F11" s="48"/>
      <c r="G11" s="48"/>
      <c r="H11" s="49">
        <f>H10/(G20+C3*C4*C10)/C8*365</f>
        <v>0.60876288442278925</v>
      </c>
    </row>
    <row r="12" spans="1:15" ht="20.399999999999999" x14ac:dyDescent="0.35">
      <c r="A12" s="2" t="s">
        <v>25</v>
      </c>
      <c r="B12" s="2"/>
      <c r="C12" s="37">
        <v>0.08</v>
      </c>
      <c r="D12" s="39"/>
      <c r="E12" s="38"/>
      <c r="F12" s="38"/>
      <c r="G12" s="38"/>
      <c r="H12" s="38"/>
    </row>
    <row r="13" spans="1:15" ht="20.399999999999999" x14ac:dyDescent="0.35">
      <c r="A13" s="38"/>
      <c r="B13" s="38"/>
      <c r="C13" s="38"/>
      <c r="D13" s="38"/>
      <c r="E13" s="38"/>
      <c r="F13" s="38"/>
      <c r="G13" s="38"/>
      <c r="H13" s="38"/>
    </row>
    <row r="14" spans="1:15" ht="21" x14ac:dyDescent="0.4">
      <c r="A14" s="15" t="s">
        <v>30</v>
      </c>
      <c r="B14" s="15"/>
      <c r="C14" s="15" t="s">
        <v>31</v>
      </c>
      <c r="D14" s="15" t="s">
        <v>17</v>
      </c>
      <c r="E14" s="15" t="s">
        <v>18</v>
      </c>
      <c r="F14" s="15" t="s">
        <v>19</v>
      </c>
      <c r="G14" s="15" t="s">
        <v>20</v>
      </c>
      <c r="H14" s="15" t="s">
        <v>21</v>
      </c>
    </row>
    <row r="15" spans="1:15" ht="20.399999999999999" x14ac:dyDescent="0.35">
      <c r="A15" s="2" t="s">
        <v>44</v>
      </c>
      <c r="B15" s="16">
        <v>40</v>
      </c>
      <c r="C15" s="17">
        <f>+B15/100</f>
        <v>0.4</v>
      </c>
      <c r="D15" s="18">
        <v>4</v>
      </c>
      <c r="E15" s="3">
        <v>500000</v>
      </c>
      <c r="F15" s="18">
        <f>+D15*E15/1000</f>
        <v>2000</v>
      </c>
      <c r="G15" s="19">
        <f t="shared" ref="G15:G20" si="0">+F15*$C$8*$C$3</f>
        <v>12307692.307692306</v>
      </c>
      <c r="H15" s="19">
        <f>+D15*$C$8*$C$3</f>
        <v>24615.384615384613</v>
      </c>
      <c r="I15" s="20">
        <v>90000</v>
      </c>
      <c r="J15" s="1">
        <f>18*3000</f>
        <v>54000</v>
      </c>
      <c r="K15" s="21">
        <f>SUM(I15:J15)</f>
        <v>144000</v>
      </c>
      <c r="L15" s="1" t="s">
        <v>45</v>
      </c>
    </row>
    <row r="16" spans="1:15" ht="20.399999999999999" x14ac:dyDescent="0.35">
      <c r="A16" s="2" t="s">
        <v>35</v>
      </c>
      <c r="B16" s="16">
        <v>30</v>
      </c>
      <c r="C16" s="17">
        <f>+B16/100</f>
        <v>0.3</v>
      </c>
      <c r="D16" s="18">
        <f>$C$6*$C$9*C16/0.88</f>
        <v>0.61363636363636354</v>
      </c>
      <c r="E16" s="3">
        <v>470000</v>
      </c>
      <c r="F16" s="18">
        <f>+D16*E16/1000</f>
        <v>288.40909090909088</v>
      </c>
      <c r="G16" s="19">
        <f t="shared" si="0"/>
        <v>1774825.1748251743</v>
      </c>
      <c r="H16" s="19">
        <f>+D16*$C$8*$C$3</f>
        <v>3776.2237762237751</v>
      </c>
      <c r="I16" s="22"/>
      <c r="K16" s="21"/>
    </row>
    <row r="17" spans="1:11" ht="20.399999999999999" x14ac:dyDescent="0.35">
      <c r="A17" s="2" t="s">
        <v>28</v>
      </c>
      <c r="B17" s="16">
        <v>30</v>
      </c>
      <c r="C17" s="17">
        <f>+B17/100</f>
        <v>0.3</v>
      </c>
      <c r="D17" s="23">
        <v>0.7</v>
      </c>
      <c r="E17" s="3">
        <v>180000</v>
      </c>
      <c r="F17" s="18">
        <f>+D17*E17/1000</f>
        <v>125.99999999999999</v>
      </c>
      <c r="G17" s="19">
        <f t="shared" si="0"/>
        <v>775384.61538461526</v>
      </c>
      <c r="H17" s="19">
        <f>+D17*$C$8*$C$3</f>
        <v>4307.6923076923076</v>
      </c>
      <c r="I17" s="20">
        <v>76000</v>
      </c>
      <c r="J17" s="1">
        <f>65*3000</f>
        <v>195000</v>
      </c>
      <c r="K17" s="21">
        <f>SUM(I17:J17)</f>
        <v>271000</v>
      </c>
    </row>
    <row r="18" spans="1:11" ht="20.399999999999999" x14ac:dyDescent="0.35">
      <c r="A18" s="2" t="s">
        <v>29</v>
      </c>
      <c r="B18" s="24"/>
      <c r="C18" s="25"/>
      <c r="D18" s="23">
        <f>$C$6*$C$9*C18/0.9</f>
        <v>0</v>
      </c>
      <c r="E18" s="3"/>
      <c r="F18" s="23">
        <f>+D18*E18/1000</f>
        <v>0</v>
      </c>
      <c r="G18" s="19">
        <f t="shared" si="0"/>
        <v>0</v>
      </c>
      <c r="H18" s="19">
        <f>+D18*$C$8*$C$3</f>
        <v>0</v>
      </c>
      <c r="I18" s="22"/>
    </row>
    <row r="19" spans="1:11" ht="20.399999999999999" x14ac:dyDescent="0.35">
      <c r="A19" s="12" t="s">
        <v>27</v>
      </c>
      <c r="B19" s="16">
        <v>0</v>
      </c>
      <c r="C19" s="25">
        <f>+B19/100</f>
        <v>0</v>
      </c>
      <c r="D19" s="23">
        <f>$C$6*$C$9*C19/0.9</f>
        <v>0</v>
      </c>
      <c r="E19" s="7"/>
      <c r="F19" s="23">
        <f>+D19*E19/1000</f>
        <v>0</v>
      </c>
      <c r="G19" s="19">
        <f t="shared" si="0"/>
        <v>0</v>
      </c>
      <c r="H19" s="19">
        <f>+D19*$C$8*$C$3</f>
        <v>0</v>
      </c>
    </row>
    <row r="20" spans="1:11" ht="21" x14ac:dyDescent="0.4">
      <c r="A20" s="26" t="s">
        <v>24</v>
      </c>
      <c r="B20" s="27"/>
      <c r="C20" s="28">
        <f>SUM(C15:C19)</f>
        <v>1</v>
      </c>
      <c r="D20" s="29">
        <f>SUM(D15:D19)</f>
        <v>5.3136363636363635</v>
      </c>
      <c r="E20" s="30"/>
      <c r="F20" s="29">
        <f>SUM(F15:F19)</f>
        <v>2414.409090909091</v>
      </c>
      <c r="G20" s="31">
        <f t="shared" si="0"/>
        <v>14857902.097902097</v>
      </c>
      <c r="H20" s="31">
        <f>SUM(H15:H19)</f>
        <v>32699.300699300697</v>
      </c>
      <c r="J20" s="1">
        <f>SUM(J15:J19)</f>
        <v>249000</v>
      </c>
    </row>
    <row r="21" spans="1:11" x14ac:dyDescent="0.3">
      <c r="F21" s="32"/>
      <c r="H21" s="33"/>
      <c r="J21" s="34">
        <f>+J20/D20</f>
        <v>46860.564585115484</v>
      </c>
    </row>
  </sheetData>
  <mergeCells count="8">
    <mergeCell ref="E8:F8"/>
    <mergeCell ref="E10:F10"/>
    <mergeCell ref="A1:H1"/>
    <mergeCell ref="E3:F3"/>
    <mergeCell ref="E4:F4"/>
    <mergeCell ref="E5:F5"/>
    <mergeCell ref="E6:F6"/>
    <mergeCell ref="E7:F7"/>
  </mergeCells>
  <pageMargins left="0.75" right="0.75" top="1" bottom="1" header="0" footer="0"/>
  <pageSetup paperSize="9" orientation="portrait" horizontalDpi="0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Spinner 1">
              <controlPr defaultSize="0" autoPict="0">
                <anchor moveWithCells="1" sizeWithCells="1">
                  <from>
                    <xdr:col>2</xdr:col>
                    <xdr:colOff>22860</xdr:colOff>
                    <xdr:row>3</xdr:row>
                    <xdr:rowOff>7620</xdr:rowOff>
                  </from>
                  <to>
                    <xdr:col>2</xdr:col>
                    <xdr:colOff>175260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Spinner 2">
              <controlPr defaultSize="0" autoPict="0">
                <anchor moveWithCells="1" sizeWithCells="1">
                  <from>
                    <xdr:col>2</xdr:col>
                    <xdr:colOff>22860</xdr:colOff>
                    <xdr:row>4</xdr:row>
                    <xdr:rowOff>7620</xdr:rowOff>
                  </from>
                  <to>
                    <xdr:col>2</xdr:col>
                    <xdr:colOff>175260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Spinner 3">
              <controlPr defaultSize="0" autoPict="0">
                <anchor moveWithCells="1" sizeWithCells="1">
                  <from>
                    <xdr:col>2</xdr:col>
                    <xdr:colOff>22860</xdr:colOff>
                    <xdr:row>6</xdr:row>
                    <xdr:rowOff>7620</xdr:rowOff>
                  </from>
                  <to>
                    <xdr:col>2</xdr:col>
                    <xdr:colOff>175260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Spinner 4">
              <controlPr defaultSize="0" autoPict="0">
                <anchor moveWithCells="1" sizeWithCells="1">
                  <from>
                    <xdr:col>2</xdr:col>
                    <xdr:colOff>22860</xdr:colOff>
                    <xdr:row>9</xdr:row>
                    <xdr:rowOff>7620</xdr:rowOff>
                  </from>
                  <to>
                    <xdr:col>2</xdr:col>
                    <xdr:colOff>175260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Spinner 5">
              <controlPr defaultSize="0" autoPict="0">
                <anchor moveWithCells="1" sizeWithCells="1">
                  <from>
                    <xdr:col>2</xdr:col>
                    <xdr:colOff>22860</xdr:colOff>
                    <xdr:row>10</xdr:row>
                    <xdr:rowOff>7620</xdr:rowOff>
                  </from>
                  <to>
                    <xdr:col>2</xdr:col>
                    <xdr:colOff>175260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Spinner 6">
              <controlPr defaultSize="0" autoPict="0">
                <anchor moveWithCells="1" sizeWithCells="1">
                  <from>
                    <xdr:col>2</xdr:col>
                    <xdr:colOff>22860</xdr:colOff>
                    <xdr:row>14</xdr:row>
                    <xdr:rowOff>7620</xdr:rowOff>
                  </from>
                  <to>
                    <xdr:col>2</xdr:col>
                    <xdr:colOff>175260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Spinner 7">
              <controlPr defaultSize="0" autoPict="0">
                <anchor moveWithCells="1" sizeWithCells="1">
                  <from>
                    <xdr:col>2</xdr:col>
                    <xdr:colOff>22860</xdr:colOff>
                    <xdr:row>15</xdr:row>
                    <xdr:rowOff>7620</xdr:rowOff>
                  </from>
                  <to>
                    <xdr:col>2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Spinner 8">
              <controlPr defaultSize="0" autoPict="0">
                <anchor moveWithCells="1" sizeWithCells="1">
                  <from>
                    <xdr:col>2</xdr:col>
                    <xdr:colOff>22860</xdr:colOff>
                    <xdr:row>16</xdr:row>
                    <xdr:rowOff>7620</xdr:rowOff>
                  </from>
                  <to>
                    <xdr:col>2</xdr:col>
                    <xdr:colOff>175260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Spinner 9">
              <controlPr defaultSize="0" autoPict="0">
                <anchor moveWithCells="1" sizeWithCells="1">
                  <from>
                    <xdr:col>2</xdr:col>
                    <xdr:colOff>22860</xdr:colOff>
                    <xdr:row>15</xdr:row>
                    <xdr:rowOff>7620</xdr:rowOff>
                  </from>
                  <to>
                    <xdr:col>2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Spinner 10">
              <controlPr defaultSize="0" autoPict="0">
                <anchor moveWithCells="1" sizeWithCells="1">
                  <from>
                    <xdr:col>2</xdr:col>
                    <xdr:colOff>22860</xdr:colOff>
                    <xdr:row>16</xdr:row>
                    <xdr:rowOff>7620</xdr:rowOff>
                  </from>
                  <to>
                    <xdr:col>2</xdr:col>
                    <xdr:colOff>175260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Spinner 11">
              <controlPr defaultSize="0" autoPict="0">
                <anchor moveWithCells="1" sizeWithCells="1">
                  <from>
                    <xdr:col>2</xdr:col>
                    <xdr:colOff>22860</xdr:colOff>
                    <xdr:row>2</xdr:row>
                    <xdr:rowOff>7620</xdr:rowOff>
                  </from>
                  <to>
                    <xdr:col>2</xdr:col>
                    <xdr:colOff>175260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Spinner 12">
              <controlPr defaultSize="0" autoPict="0">
                <anchor moveWithCells="1" sizeWithCells="1">
                  <from>
                    <xdr:col>4</xdr:col>
                    <xdr:colOff>22860</xdr:colOff>
                    <xdr:row>14</xdr:row>
                    <xdr:rowOff>7620</xdr:rowOff>
                  </from>
                  <to>
                    <xdr:col>4</xdr:col>
                    <xdr:colOff>175260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Spinner 13">
              <controlPr defaultSize="0" autoPict="0">
                <anchor moveWithCells="1" sizeWithCells="1">
                  <from>
                    <xdr:col>4</xdr:col>
                    <xdr:colOff>22860</xdr:colOff>
                    <xdr:row>15</xdr:row>
                    <xdr:rowOff>7620</xdr:rowOff>
                  </from>
                  <to>
                    <xdr:col>4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Spinner 14">
              <controlPr defaultSize="0" autoPict="0">
                <anchor moveWithCells="1" sizeWithCells="1">
                  <from>
                    <xdr:col>4</xdr:col>
                    <xdr:colOff>22860</xdr:colOff>
                    <xdr:row>16</xdr:row>
                    <xdr:rowOff>7620</xdr:rowOff>
                  </from>
                  <to>
                    <xdr:col>4</xdr:col>
                    <xdr:colOff>175260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Spinner 15">
              <controlPr defaultSize="0" autoPict="0">
                <anchor moveWithCells="1" sizeWithCells="1">
                  <from>
                    <xdr:col>4</xdr:col>
                    <xdr:colOff>22860</xdr:colOff>
                    <xdr:row>18</xdr:row>
                    <xdr:rowOff>7620</xdr:rowOff>
                  </from>
                  <to>
                    <xdr:col>4</xdr:col>
                    <xdr:colOff>175260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Spinner 16">
              <controlPr defaultSize="0" autoPict="0">
                <anchor moveWithCells="1" sizeWithCells="1">
                  <from>
                    <xdr:col>2</xdr:col>
                    <xdr:colOff>0</xdr:colOff>
                    <xdr:row>17</xdr:row>
                    <xdr:rowOff>251460</xdr:rowOff>
                  </from>
                  <to>
                    <xdr:col>2</xdr:col>
                    <xdr:colOff>144780</xdr:colOff>
                    <xdr:row>18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zoomScale="56" zoomScaleNormal="55" workbookViewId="0">
      <selection activeCell="M8" sqref="M8:S12"/>
    </sheetView>
  </sheetViews>
  <sheetFormatPr baseColWidth="10" defaultColWidth="11.44140625" defaultRowHeight="17.399999999999999" x14ac:dyDescent="0.3"/>
  <cols>
    <col min="1" max="1" width="31.33203125" style="1" customWidth="1"/>
    <col min="2" max="2" width="3.6640625" style="1" hidden="1" customWidth="1"/>
    <col min="3" max="3" width="13.88671875" style="1" customWidth="1"/>
    <col min="4" max="4" width="10.6640625" style="1" bestFit="1" customWidth="1"/>
    <col min="5" max="5" width="15.44140625" style="1" customWidth="1"/>
    <col min="6" max="6" width="13.44140625" style="1" customWidth="1"/>
    <col min="7" max="7" width="17" style="1" bestFit="1" customWidth="1"/>
    <col min="8" max="8" width="19.109375" style="1" customWidth="1"/>
    <col min="9" max="9" width="15.44140625" style="1" hidden="1" customWidth="1"/>
    <col min="10" max="10" width="0" style="1" hidden="1" customWidth="1"/>
    <col min="11" max="11" width="18.6640625" style="1" hidden="1" customWidth="1"/>
    <col min="12" max="12" width="16.33203125" style="1" customWidth="1"/>
    <col min="13" max="13" width="39.6640625" style="1" customWidth="1"/>
    <col min="14" max="14" width="22.5546875" style="1" customWidth="1"/>
    <col min="15" max="15" width="17.33203125" style="1" bestFit="1" customWidth="1"/>
    <col min="16" max="16" width="21" style="1" bestFit="1" customWidth="1"/>
    <col min="17" max="17" width="3.109375" style="1" customWidth="1"/>
    <col min="18" max="18" width="23.5546875" style="1" bestFit="1" customWidth="1"/>
    <col min="19" max="19" width="9.44140625" style="1" customWidth="1"/>
    <col min="20" max="16384" width="11.44140625" style="1"/>
  </cols>
  <sheetData>
    <row r="1" spans="1:19" ht="21" x14ac:dyDescent="0.4">
      <c r="A1" s="59" t="s">
        <v>32</v>
      </c>
      <c r="B1" s="59"/>
      <c r="C1" s="59"/>
      <c r="D1" s="59"/>
      <c r="E1" s="59"/>
      <c r="F1" s="59"/>
      <c r="G1" s="59"/>
      <c r="H1" s="59"/>
    </row>
    <row r="2" spans="1:19" ht="20.399999999999999" x14ac:dyDescent="0.35">
      <c r="A2" s="38"/>
      <c r="B2" s="38"/>
      <c r="C2" s="38"/>
      <c r="D2" s="38"/>
      <c r="E2" s="38"/>
      <c r="F2" s="38"/>
      <c r="G2" s="38"/>
      <c r="H2" s="38"/>
    </row>
    <row r="3" spans="1:19" ht="20.399999999999999" x14ac:dyDescent="0.35">
      <c r="A3" s="2" t="s">
        <v>1</v>
      </c>
      <c r="B3" s="2"/>
      <c r="C3" s="3">
        <v>100</v>
      </c>
      <c r="D3" s="38"/>
      <c r="E3" s="60"/>
      <c r="F3" s="60"/>
      <c r="G3" s="4" t="s">
        <v>2</v>
      </c>
      <c r="H3" s="2" t="s">
        <v>3</v>
      </c>
    </row>
    <row r="4" spans="1:19" ht="20.399999999999999" x14ac:dyDescent="0.35">
      <c r="A4" s="2" t="s">
        <v>4</v>
      </c>
      <c r="B4" s="2"/>
      <c r="C4" s="3">
        <f>+Cria!C5</f>
        <v>80</v>
      </c>
      <c r="D4" s="38"/>
      <c r="E4" s="57" t="s">
        <v>5</v>
      </c>
      <c r="F4" s="57"/>
      <c r="G4" s="2">
        <f>C5*C11*(1-C12)</f>
        <v>776000</v>
      </c>
      <c r="H4" s="5">
        <f>+G4*$C$3</f>
        <v>77600000</v>
      </c>
      <c r="M4" s="43"/>
    </row>
    <row r="5" spans="1:19" ht="20.399999999999999" x14ac:dyDescent="0.35">
      <c r="A5" s="2" t="s">
        <v>6</v>
      </c>
      <c r="B5" s="2"/>
      <c r="C5" s="3">
        <v>200</v>
      </c>
      <c r="D5" s="38"/>
      <c r="E5" s="57" t="s">
        <v>7</v>
      </c>
      <c r="F5" s="57"/>
      <c r="G5" s="5">
        <f>-F20*C8</f>
        <v>-238254.54545454544</v>
      </c>
      <c r="H5" s="5">
        <f>+G5*$C$3</f>
        <v>-23825454.545454543</v>
      </c>
    </row>
    <row r="6" spans="1:19" ht="20.399999999999999" x14ac:dyDescent="0.35">
      <c r="A6" s="2" t="s">
        <v>8</v>
      </c>
      <c r="B6" s="2"/>
      <c r="C6" s="5">
        <f>(C5+C4)/2</f>
        <v>140</v>
      </c>
      <c r="D6" s="38"/>
      <c r="E6" s="57" t="s">
        <v>9</v>
      </c>
      <c r="F6" s="57"/>
      <c r="G6" s="2">
        <f>-C4*C10</f>
        <v>-320000</v>
      </c>
      <c r="H6" s="5">
        <f>+G6*$C$3</f>
        <v>-32000000</v>
      </c>
      <c r="J6" s="6">
        <v>39859</v>
      </c>
      <c r="K6" s="1">
        <v>95</v>
      </c>
    </row>
    <row r="7" spans="1:19" ht="20.399999999999999" x14ac:dyDescent="0.35">
      <c r="A7" s="2" t="s">
        <v>10</v>
      </c>
      <c r="B7" s="2"/>
      <c r="C7" s="3">
        <f>+D7/20</f>
        <v>0.8</v>
      </c>
      <c r="D7" s="39">
        <v>16</v>
      </c>
      <c r="E7" s="57" t="s">
        <v>11</v>
      </c>
      <c r="F7" s="57"/>
      <c r="G7" s="5">
        <f>-H7/C3</f>
        <v>0</v>
      </c>
      <c r="H7" s="7"/>
      <c r="J7" s="6">
        <v>39892</v>
      </c>
      <c r="K7" s="1">
        <v>122</v>
      </c>
      <c r="O7" s="8"/>
    </row>
    <row r="8" spans="1:19" ht="27.6" x14ac:dyDescent="0.45">
      <c r="A8" s="2" t="s">
        <v>12</v>
      </c>
      <c r="B8" s="2"/>
      <c r="C8" s="5">
        <f>(C5-C4)/C7</f>
        <v>150</v>
      </c>
      <c r="D8" s="38"/>
      <c r="E8" s="57" t="s">
        <v>13</v>
      </c>
      <c r="F8" s="57"/>
      <c r="G8" s="5">
        <f>H8/C3</f>
        <v>-30000</v>
      </c>
      <c r="H8" s="45">
        <f>1200000/30/2*C8*-1</f>
        <v>-3000000</v>
      </c>
      <c r="K8" s="1">
        <f>+(K7-K6)/(J7-J6)</f>
        <v>0.81818181818181823</v>
      </c>
      <c r="M8" s="61" t="s">
        <v>43</v>
      </c>
      <c r="N8" s="61"/>
      <c r="O8" s="61"/>
      <c r="P8" s="61"/>
      <c r="Q8" s="50"/>
      <c r="R8" s="50"/>
      <c r="S8" s="50"/>
    </row>
    <row r="9" spans="1:19" ht="27.6" x14ac:dyDescent="0.45">
      <c r="A9" s="2" t="s">
        <v>14</v>
      </c>
      <c r="B9" s="2"/>
      <c r="C9" s="9">
        <v>0.03</v>
      </c>
      <c r="D9" s="39">
        <v>28</v>
      </c>
      <c r="E9" s="36" t="s">
        <v>26</v>
      </c>
      <c r="F9" s="36"/>
      <c r="G9" s="5">
        <f>+H9/C3</f>
        <v>-12500</v>
      </c>
      <c r="H9" s="45">
        <f>-12500*C3</f>
        <v>-1250000</v>
      </c>
      <c r="M9" s="51"/>
      <c r="N9" s="51" t="s">
        <v>41</v>
      </c>
      <c r="O9" s="52" t="s">
        <v>42</v>
      </c>
      <c r="P9" s="51" t="s">
        <v>5</v>
      </c>
      <c r="Q9" s="50"/>
      <c r="R9" s="50" t="s">
        <v>5</v>
      </c>
      <c r="S9" s="50" t="s">
        <v>53</v>
      </c>
    </row>
    <row r="10" spans="1:19" ht="27.6" x14ac:dyDescent="0.45">
      <c r="A10" s="2" t="s">
        <v>34</v>
      </c>
      <c r="B10" s="2"/>
      <c r="C10" s="11">
        <f>+Cria!C11</f>
        <v>4000</v>
      </c>
      <c r="D10" s="39">
        <v>186</v>
      </c>
      <c r="E10" s="58" t="s">
        <v>15</v>
      </c>
      <c r="F10" s="58"/>
      <c r="G10" s="46">
        <f>SUM(G4:G9)</f>
        <v>175245.45454545459</v>
      </c>
      <c r="H10" s="46">
        <f>+G10*$C$3</f>
        <v>17524545.454545461</v>
      </c>
      <c r="L10" s="35">
        <f>+G4+G5+G6</f>
        <v>217745.45454545459</v>
      </c>
      <c r="M10" s="53" t="s">
        <v>47</v>
      </c>
      <c r="N10" s="53">
        <f>+Cria!G10</f>
        <v>25513.286713286718</v>
      </c>
      <c r="O10" s="53">
        <f>+SUM(Cria!G5:G9)*-1</f>
        <v>268886.71328671329</v>
      </c>
      <c r="P10" s="53">
        <f>+Cria!G4</f>
        <v>294400</v>
      </c>
      <c r="Q10" s="50"/>
      <c r="R10" s="54">
        <v>46113</v>
      </c>
      <c r="S10" s="55">
        <f>+R11-R10</f>
        <v>61.538461538460979</v>
      </c>
    </row>
    <row r="11" spans="1:19" ht="27.6" x14ac:dyDescent="0.45">
      <c r="A11" s="2" t="s">
        <v>33</v>
      </c>
      <c r="B11" s="2"/>
      <c r="C11" s="11">
        <v>4000</v>
      </c>
      <c r="D11" s="39">
        <v>15553</v>
      </c>
      <c r="E11" s="47" t="s">
        <v>16</v>
      </c>
      <c r="F11" s="48"/>
      <c r="G11" s="48"/>
      <c r="H11" s="49">
        <f>H10/(G20+C3*C4*C10)/C8*365</f>
        <v>0.7638641002258123</v>
      </c>
      <c r="M11" s="53" t="s">
        <v>40</v>
      </c>
      <c r="N11" s="53">
        <f>+G10</f>
        <v>175245.45454545459</v>
      </c>
      <c r="O11" s="53">
        <f>+SUM(G5:G9)*-1</f>
        <v>600754.54545454541</v>
      </c>
      <c r="P11" s="53">
        <f>+G4</f>
        <v>776000</v>
      </c>
      <c r="Q11" s="50"/>
      <c r="R11" s="54">
        <f>+R10+Cria!C8</f>
        <v>46174.538461538461</v>
      </c>
      <c r="S11" s="55">
        <f>+R12-R11</f>
        <v>150</v>
      </c>
    </row>
    <row r="12" spans="1:19" ht="28.2" x14ac:dyDescent="0.5">
      <c r="A12" s="2" t="s">
        <v>25</v>
      </c>
      <c r="B12" s="2"/>
      <c r="C12" s="37">
        <v>0.03</v>
      </c>
      <c r="D12" s="39"/>
      <c r="E12" s="38"/>
      <c r="F12" s="38"/>
      <c r="G12" s="38"/>
      <c r="H12" s="38"/>
      <c r="M12" s="56" t="s">
        <v>24</v>
      </c>
      <c r="N12" s="56">
        <f>SUM(N10:N11)</f>
        <v>200758.7412587413</v>
      </c>
      <c r="O12" s="56">
        <f>SUM(O10:O11)</f>
        <v>869641.25874125864</v>
      </c>
      <c r="P12" s="56">
        <f>SUM(P10:P11)</f>
        <v>1070400</v>
      </c>
      <c r="Q12" s="50"/>
      <c r="R12" s="54">
        <f>+R11+C8</f>
        <v>46324.538461538461</v>
      </c>
      <c r="S12" s="55">
        <f>+S11+S10</f>
        <v>211.53846153846098</v>
      </c>
    </row>
    <row r="13" spans="1:19" ht="20.399999999999999" x14ac:dyDescent="0.35">
      <c r="A13" s="38"/>
      <c r="B13" s="38"/>
      <c r="C13" s="38"/>
      <c r="D13" s="38"/>
      <c r="E13" s="38"/>
      <c r="F13" s="38"/>
      <c r="G13" s="38"/>
      <c r="H13" s="38"/>
      <c r="M13" s="1" t="s">
        <v>51</v>
      </c>
      <c r="N13" s="43">
        <f>+N12*S13</f>
        <v>0</v>
      </c>
      <c r="P13" s="43">
        <f>+P12*S13</f>
        <v>0</v>
      </c>
      <c r="R13" s="42"/>
    </row>
    <row r="14" spans="1:19" ht="21" x14ac:dyDescent="0.4">
      <c r="A14" s="15" t="s">
        <v>30</v>
      </c>
      <c r="B14" s="15"/>
      <c r="C14" s="15" t="s">
        <v>31</v>
      </c>
      <c r="D14" s="15" t="s">
        <v>17</v>
      </c>
      <c r="E14" s="15" t="s">
        <v>18</v>
      </c>
      <c r="F14" s="15" t="s">
        <v>19</v>
      </c>
      <c r="G14" s="15" t="s">
        <v>20</v>
      </c>
      <c r="H14" s="15" t="s">
        <v>21</v>
      </c>
      <c r="M14" s="1" t="s">
        <v>52</v>
      </c>
      <c r="N14" s="43">
        <f>+N13/1550</f>
        <v>0</v>
      </c>
    </row>
    <row r="15" spans="1:19" ht="20.399999999999999" x14ac:dyDescent="0.35">
      <c r="A15" s="2" t="s">
        <v>22</v>
      </c>
      <c r="B15" s="16">
        <v>0</v>
      </c>
      <c r="C15" s="17">
        <f>+B15/100</f>
        <v>0</v>
      </c>
      <c r="D15" s="18">
        <f>$C$6*$C$9*C15/0.88</f>
        <v>0</v>
      </c>
      <c r="E15" s="3">
        <v>250000</v>
      </c>
      <c r="F15" s="18">
        <f>+D15*E15/1000</f>
        <v>0</v>
      </c>
      <c r="G15" s="19">
        <f t="shared" ref="G15:G20" si="0">+F15*$C$8*$C$3</f>
        <v>0</v>
      </c>
      <c r="H15" s="19">
        <f>+D15*$C$8*$C$3</f>
        <v>0</v>
      </c>
      <c r="I15" s="20">
        <v>90000</v>
      </c>
      <c r="J15" s="1">
        <f>18*3000</f>
        <v>54000</v>
      </c>
      <c r="K15" s="21">
        <f>SUM(I15:J15)</f>
        <v>144000</v>
      </c>
      <c r="N15" s="44"/>
    </row>
    <row r="16" spans="1:19" ht="20.399999999999999" x14ac:dyDescent="0.35">
      <c r="A16" s="2" t="s">
        <v>50</v>
      </c>
      <c r="B16" s="16">
        <v>70</v>
      </c>
      <c r="C16" s="17">
        <f>+B16/100</f>
        <v>0.7</v>
      </c>
      <c r="D16" s="18">
        <f>$C$6*$C$9*C16/0.88</f>
        <v>3.3409090909090908</v>
      </c>
      <c r="E16" s="3">
        <v>400000</v>
      </c>
      <c r="F16" s="18">
        <f>+D16*E16/1000</f>
        <v>1336.3636363636363</v>
      </c>
      <c r="G16" s="19">
        <f t="shared" si="0"/>
        <v>20045454.545454543</v>
      </c>
      <c r="H16" s="19">
        <f>+D16*$C$8*$C$3</f>
        <v>50113.63636363636</v>
      </c>
      <c r="I16" s="22"/>
      <c r="K16" s="21"/>
    </row>
    <row r="17" spans="1:11" ht="20.399999999999999" x14ac:dyDescent="0.35">
      <c r="A17" s="2" t="s">
        <v>28</v>
      </c>
      <c r="B17" s="16">
        <v>30</v>
      </c>
      <c r="C17" s="17">
        <f>+B17/100</f>
        <v>0.3</v>
      </c>
      <c r="D17" s="23">
        <f>$C$6*$C$9*C17/0.9</f>
        <v>1.4</v>
      </c>
      <c r="E17" s="3">
        <v>180000</v>
      </c>
      <c r="F17" s="18">
        <f>+D17*E17/1000</f>
        <v>251.99999999999997</v>
      </c>
      <c r="G17" s="19">
        <f t="shared" si="0"/>
        <v>3779999.9999999991</v>
      </c>
      <c r="H17" s="19">
        <f>+D17*$C$8*$C$3</f>
        <v>21000</v>
      </c>
      <c r="I17" s="20">
        <v>76000</v>
      </c>
      <c r="J17" s="1">
        <f>65*3000</f>
        <v>195000</v>
      </c>
      <c r="K17" s="21">
        <f>SUM(I17:J17)</f>
        <v>271000</v>
      </c>
    </row>
    <row r="18" spans="1:11" ht="20.399999999999999" x14ac:dyDescent="0.35">
      <c r="A18" s="2" t="s">
        <v>29</v>
      </c>
      <c r="B18" s="24"/>
      <c r="C18" s="25">
        <v>0</v>
      </c>
      <c r="D18" s="23">
        <f>$C$6*$C$9*C18/0.9</f>
        <v>0</v>
      </c>
      <c r="E18" s="3">
        <v>2000</v>
      </c>
      <c r="F18" s="23">
        <f>+D18*E18/1000</f>
        <v>0</v>
      </c>
      <c r="G18" s="19">
        <f t="shared" si="0"/>
        <v>0</v>
      </c>
      <c r="H18" s="19">
        <f>+D18*$C$8*$C$3</f>
        <v>0</v>
      </c>
      <c r="I18" s="22"/>
    </row>
    <row r="19" spans="1:11" ht="20.399999999999999" x14ac:dyDescent="0.35">
      <c r="A19" s="12" t="s">
        <v>27</v>
      </c>
      <c r="B19" s="16">
        <v>0</v>
      </c>
      <c r="C19" s="25">
        <f>+B19/100</f>
        <v>0</v>
      </c>
      <c r="D19" s="23">
        <f>$C$6*$C$9*C19/0.9</f>
        <v>0</v>
      </c>
      <c r="E19" s="7">
        <v>2000</v>
      </c>
      <c r="F19" s="23">
        <f>+D19*E19/1000</f>
        <v>0</v>
      </c>
      <c r="G19" s="19">
        <f t="shared" si="0"/>
        <v>0</v>
      </c>
      <c r="H19" s="19">
        <f>+D19*$C$8*$C$3</f>
        <v>0</v>
      </c>
    </row>
    <row r="20" spans="1:11" ht="21" x14ac:dyDescent="0.4">
      <c r="A20" s="26" t="s">
        <v>24</v>
      </c>
      <c r="B20" s="27"/>
      <c r="C20" s="28">
        <f>SUM(C15:C19)</f>
        <v>1</v>
      </c>
      <c r="D20" s="29">
        <f>SUM(D15:D19)</f>
        <v>4.7409090909090903</v>
      </c>
      <c r="E20" s="30"/>
      <c r="F20" s="29">
        <f>SUM(F15:F19)</f>
        <v>1588.3636363636363</v>
      </c>
      <c r="G20" s="31">
        <f t="shared" si="0"/>
        <v>23825454.545454543</v>
      </c>
      <c r="H20" s="31">
        <f>SUM(H15:H19)</f>
        <v>71113.636363636353</v>
      </c>
      <c r="J20" s="1">
        <f>SUM(J15:J19)</f>
        <v>249000</v>
      </c>
    </row>
    <row r="21" spans="1:11" x14ac:dyDescent="0.3">
      <c r="F21" s="32"/>
      <c r="H21" s="33">
        <f>+H20/150</f>
        <v>474.09090909090901</v>
      </c>
      <c r="J21" s="34">
        <f>+J20/D20</f>
        <v>52521.572387344204</v>
      </c>
    </row>
  </sheetData>
  <mergeCells count="9">
    <mergeCell ref="M8:P8"/>
    <mergeCell ref="E8:F8"/>
    <mergeCell ref="E10:F10"/>
    <mergeCell ref="A1:H1"/>
    <mergeCell ref="E3:F3"/>
    <mergeCell ref="E4:F4"/>
    <mergeCell ref="E5:F5"/>
    <mergeCell ref="E6:F6"/>
    <mergeCell ref="E7:F7"/>
  </mergeCells>
  <pageMargins left="0.75" right="0.75" top="1" bottom="1" header="0" footer="0"/>
  <pageSetup paperSize="9" orientation="portrait" horizontalDpi="0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Spinner 1">
              <controlPr defaultSize="0" autoPict="0">
                <anchor moveWithCells="1" sizeWithCells="1">
                  <from>
                    <xdr:col>2</xdr:col>
                    <xdr:colOff>22860</xdr:colOff>
                    <xdr:row>3</xdr:row>
                    <xdr:rowOff>7620</xdr:rowOff>
                  </from>
                  <to>
                    <xdr:col>2</xdr:col>
                    <xdr:colOff>175260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Spinner 2">
              <controlPr defaultSize="0" autoPict="0">
                <anchor moveWithCells="1" sizeWithCells="1">
                  <from>
                    <xdr:col>2</xdr:col>
                    <xdr:colOff>22860</xdr:colOff>
                    <xdr:row>4</xdr:row>
                    <xdr:rowOff>7620</xdr:rowOff>
                  </from>
                  <to>
                    <xdr:col>2</xdr:col>
                    <xdr:colOff>175260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Spinner 3">
              <controlPr defaultSize="0" autoPict="0">
                <anchor moveWithCells="1" sizeWithCells="1">
                  <from>
                    <xdr:col>2</xdr:col>
                    <xdr:colOff>22860</xdr:colOff>
                    <xdr:row>6</xdr:row>
                    <xdr:rowOff>7620</xdr:rowOff>
                  </from>
                  <to>
                    <xdr:col>2</xdr:col>
                    <xdr:colOff>175260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Spinner 4">
              <controlPr defaultSize="0" autoPict="0">
                <anchor moveWithCells="1" sizeWithCells="1">
                  <from>
                    <xdr:col>2</xdr:col>
                    <xdr:colOff>22860</xdr:colOff>
                    <xdr:row>9</xdr:row>
                    <xdr:rowOff>7620</xdr:rowOff>
                  </from>
                  <to>
                    <xdr:col>2</xdr:col>
                    <xdr:colOff>175260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Spinner 5">
              <controlPr defaultSize="0" autoPict="0">
                <anchor moveWithCells="1" sizeWithCells="1">
                  <from>
                    <xdr:col>2</xdr:col>
                    <xdr:colOff>22860</xdr:colOff>
                    <xdr:row>10</xdr:row>
                    <xdr:rowOff>7620</xdr:rowOff>
                  </from>
                  <to>
                    <xdr:col>2</xdr:col>
                    <xdr:colOff>175260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Spinner 6">
              <controlPr defaultSize="0" autoPict="0">
                <anchor moveWithCells="1" sizeWithCells="1">
                  <from>
                    <xdr:col>2</xdr:col>
                    <xdr:colOff>22860</xdr:colOff>
                    <xdr:row>14</xdr:row>
                    <xdr:rowOff>7620</xdr:rowOff>
                  </from>
                  <to>
                    <xdr:col>2</xdr:col>
                    <xdr:colOff>175260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Spinner 7">
              <controlPr defaultSize="0" autoPict="0">
                <anchor moveWithCells="1" sizeWithCells="1">
                  <from>
                    <xdr:col>2</xdr:col>
                    <xdr:colOff>22860</xdr:colOff>
                    <xdr:row>15</xdr:row>
                    <xdr:rowOff>7620</xdr:rowOff>
                  </from>
                  <to>
                    <xdr:col>2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Spinner 8">
              <controlPr defaultSize="0" autoPict="0">
                <anchor moveWithCells="1" sizeWithCells="1">
                  <from>
                    <xdr:col>2</xdr:col>
                    <xdr:colOff>22860</xdr:colOff>
                    <xdr:row>16</xdr:row>
                    <xdr:rowOff>7620</xdr:rowOff>
                  </from>
                  <to>
                    <xdr:col>2</xdr:col>
                    <xdr:colOff>175260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Spinner 9">
              <controlPr defaultSize="0" autoPict="0">
                <anchor moveWithCells="1" sizeWithCells="1">
                  <from>
                    <xdr:col>2</xdr:col>
                    <xdr:colOff>22860</xdr:colOff>
                    <xdr:row>15</xdr:row>
                    <xdr:rowOff>7620</xdr:rowOff>
                  </from>
                  <to>
                    <xdr:col>2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Spinner 10">
              <controlPr defaultSize="0" autoPict="0">
                <anchor moveWithCells="1" sizeWithCells="1">
                  <from>
                    <xdr:col>2</xdr:col>
                    <xdr:colOff>22860</xdr:colOff>
                    <xdr:row>16</xdr:row>
                    <xdr:rowOff>7620</xdr:rowOff>
                  </from>
                  <to>
                    <xdr:col>2</xdr:col>
                    <xdr:colOff>175260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Spinner 11">
              <controlPr defaultSize="0" autoPict="0">
                <anchor moveWithCells="1" sizeWithCells="1">
                  <from>
                    <xdr:col>2</xdr:col>
                    <xdr:colOff>22860</xdr:colOff>
                    <xdr:row>2</xdr:row>
                    <xdr:rowOff>7620</xdr:rowOff>
                  </from>
                  <to>
                    <xdr:col>2</xdr:col>
                    <xdr:colOff>175260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Spinner 12">
              <controlPr defaultSize="0" autoPict="0">
                <anchor moveWithCells="1" sizeWithCells="1">
                  <from>
                    <xdr:col>4</xdr:col>
                    <xdr:colOff>22860</xdr:colOff>
                    <xdr:row>14</xdr:row>
                    <xdr:rowOff>7620</xdr:rowOff>
                  </from>
                  <to>
                    <xdr:col>4</xdr:col>
                    <xdr:colOff>175260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Spinner 13">
              <controlPr defaultSize="0" autoPict="0">
                <anchor moveWithCells="1" sizeWithCells="1">
                  <from>
                    <xdr:col>4</xdr:col>
                    <xdr:colOff>22860</xdr:colOff>
                    <xdr:row>15</xdr:row>
                    <xdr:rowOff>7620</xdr:rowOff>
                  </from>
                  <to>
                    <xdr:col>4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Spinner 14">
              <controlPr defaultSize="0" autoPict="0">
                <anchor moveWithCells="1" sizeWithCells="1">
                  <from>
                    <xdr:col>4</xdr:col>
                    <xdr:colOff>22860</xdr:colOff>
                    <xdr:row>16</xdr:row>
                    <xdr:rowOff>7620</xdr:rowOff>
                  </from>
                  <to>
                    <xdr:col>4</xdr:col>
                    <xdr:colOff>175260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Spinner 15">
              <controlPr defaultSize="0" autoPict="0">
                <anchor moveWithCells="1" sizeWithCells="1">
                  <from>
                    <xdr:col>4</xdr:col>
                    <xdr:colOff>22860</xdr:colOff>
                    <xdr:row>18</xdr:row>
                    <xdr:rowOff>7620</xdr:rowOff>
                  </from>
                  <to>
                    <xdr:col>4</xdr:col>
                    <xdr:colOff>175260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Spinner 16">
              <controlPr defaultSize="0" autoPict="0">
                <anchor moveWithCells="1" sizeWithCells="1">
                  <from>
                    <xdr:col>1</xdr:col>
                    <xdr:colOff>0</xdr:colOff>
                    <xdr:row>17</xdr:row>
                    <xdr:rowOff>251460</xdr:rowOff>
                  </from>
                  <to>
                    <xdr:col>2</xdr:col>
                    <xdr:colOff>144780</xdr:colOff>
                    <xdr:row>18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zoomScale="52" zoomScaleNormal="100" workbookViewId="0">
      <selection activeCell="O24" sqref="O24"/>
    </sheetView>
  </sheetViews>
  <sheetFormatPr baseColWidth="10" defaultColWidth="11.44140625" defaultRowHeight="17.399999999999999" x14ac:dyDescent="0.3"/>
  <cols>
    <col min="1" max="1" width="31.33203125" style="1" customWidth="1"/>
    <col min="2" max="2" width="3.6640625" style="1" hidden="1" customWidth="1"/>
    <col min="3" max="3" width="13.33203125" style="1" customWidth="1"/>
    <col min="4" max="4" width="10.6640625" style="1" bestFit="1" customWidth="1"/>
    <col min="5" max="5" width="13.88671875" style="1" customWidth="1"/>
    <col min="6" max="6" width="13.44140625" style="1" customWidth="1"/>
    <col min="7" max="7" width="17" style="1" bestFit="1" customWidth="1"/>
    <col min="8" max="8" width="17.33203125" style="1" bestFit="1" customWidth="1"/>
    <col min="9" max="9" width="15.44140625" style="1" hidden="1" customWidth="1"/>
    <col min="10" max="10" width="0" style="1" hidden="1" customWidth="1"/>
    <col min="11" max="11" width="18.6640625" style="1" hidden="1" customWidth="1"/>
    <col min="12" max="16384" width="11.44140625" style="1"/>
  </cols>
  <sheetData>
    <row r="1" spans="1:15" ht="21" x14ac:dyDescent="0.4">
      <c r="A1" s="59" t="s">
        <v>0</v>
      </c>
      <c r="B1" s="59"/>
      <c r="C1" s="59"/>
      <c r="D1" s="59"/>
      <c r="E1" s="59"/>
      <c r="F1" s="59"/>
      <c r="G1" s="59"/>
      <c r="H1" s="59"/>
    </row>
    <row r="2" spans="1:15" ht="20.399999999999999" x14ac:dyDescent="0.35">
      <c r="A2" s="38"/>
      <c r="B2" s="38"/>
      <c r="C2" s="38"/>
      <c r="D2" s="38"/>
      <c r="E2" s="38"/>
      <c r="F2" s="38"/>
      <c r="G2" s="38"/>
      <c r="H2" s="38"/>
    </row>
    <row r="3" spans="1:15" ht="20.399999999999999" x14ac:dyDescent="0.35">
      <c r="A3" s="2" t="s">
        <v>1</v>
      </c>
      <c r="B3" s="2"/>
      <c r="C3" s="3">
        <v>100</v>
      </c>
      <c r="D3" s="38"/>
      <c r="E3" s="60"/>
      <c r="F3" s="60"/>
      <c r="G3" s="4" t="s">
        <v>2</v>
      </c>
      <c r="H3" s="2" t="s">
        <v>3</v>
      </c>
    </row>
    <row r="4" spans="1:15" ht="20.399999999999999" x14ac:dyDescent="0.35">
      <c r="A4" s="2" t="s">
        <v>4</v>
      </c>
      <c r="B4" s="2"/>
      <c r="C4" s="3">
        <f>+Recria!C5</f>
        <v>200</v>
      </c>
      <c r="D4" s="38"/>
      <c r="E4" s="57" t="s">
        <v>5</v>
      </c>
      <c r="F4" s="57"/>
      <c r="G4" s="2">
        <f>C5*C11*(1-C12)</f>
        <v>1548120</v>
      </c>
      <c r="H4" s="5">
        <f>+G4*$C$3</f>
        <v>154812000</v>
      </c>
    </row>
    <row r="5" spans="1:15" ht="20.399999999999999" x14ac:dyDescent="0.35">
      <c r="A5" s="2" t="s">
        <v>6</v>
      </c>
      <c r="B5" s="2"/>
      <c r="C5" s="3">
        <v>380</v>
      </c>
      <c r="D5" s="38"/>
      <c r="E5" s="57" t="s">
        <v>7</v>
      </c>
      <c r="F5" s="57"/>
      <c r="G5" s="5">
        <f>-F20*C8</f>
        <v>-498272.72727272724</v>
      </c>
      <c r="H5" s="5">
        <f>+G5*$C$3</f>
        <v>-49827272.727272727</v>
      </c>
    </row>
    <row r="6" spans="1:15" ht="20.399999999999999" x14ac:dyDescent="0.35">
      <c r="A6" s="2" t="s">
        <v>8</v>
      </c>
      <c r="B6" s="2"/>
      <c r="C6" s="5">
        <f>(C5+C4)/2</f>
        <v>290</v>
      </c>
      <c r="D6" s="38"/>
      <c r="E6" s="57" t="s">
        <v>9</v>
      </c>
      <c r="F6" s="57"/>
      <c r="G6" s="2">
        <f>-C4*C10</f>
        <v>-800000</v>
      </c>
      <c r="H6" s="5">
        <f>+G6*$C$3</f>
        <v>-80000000</v>
      </c>
      <c r="J6" s="6">
        <v>39859</v>
      </c>
      <c r="K6" s="1">
        <v>95</v>
      </c>
    </row>
    <row r="7" spans="1:15" ht="20.399999999999999" x14ac:dyDescent="0.35">
      <c r="A7" s="2" t="s">
        <v>10</v>
      </c>
      <c r="B7" s="2"/>
      <c r="C7" s="3">
        <f>+D7/20</f>
        <v>1.1000000000000001</v>
      </c>
      <c r="D7" s="39">
        <v>22</v>
      </c>
      <c r="E7" s="57" t="s">
        <v>11</v>
      </c>
      <c r="F7" s="57"/>
      <c r="G7" s="5">
        <f>-H7/C3</f>
        <v>0</v>
      </c>
      <c r="H7" s="7"/>
      <c r="J7" s="6">
        <v>39892</v>
      </c>
      <c r="K7" s="1">
        <v>122</v>
      </c>
      <c r="O7" s="8"/>
    </row>
    <row r="8" spans="1:15" ht="20.399999999999999" x14ac:dyDescent="0.35">
      <c r="A8" s="2" t="s">
        <v>12</v>
      </c>
      <c r="B8" s="2"/>
      <c r="C8" s="5">
        <f>(C5-C4)/C7</f>
        <v>163.63636363636363</v>
      </c>
      <c r="D8" s="38"/>
      <c r="E8" s="57" t="s">
        <v>13</v>
      </c>
      <c r="F8" s="57"/>
      <c r="G8" s="5">
        <f>H8/C3</f>
        <v>-32727.272727272724</v>
      </c>
      <c r="H8" s="7">
        <f>1200000/30/2*C8*-1</f>
        <v>-3272727.2727272725</v>
      </c>
      <c r="K8" s="1">
        <f>+(K7-K6)/(J7-J6)</f>
        <v>0.81818181818181823</v>
      </c>
      <c r="O8" s="8"/>
    </row>
    <row r="9" spans="1:15" ht="20.399999999999999" x14ac:dyDescent="0.35">
      <c r="A9" s="2" t="s">
        <v>14</v>
      </c>
      <c r="B9" s="2"/>
      <c r="C9" s="9">
        <v>0.03</v>
      </c>
      <c r="D9" s="39">
        <v>28</v>
      </c>
      <c r="E9" s="36" t="s">
        <v>26</v>
      </c>
      <c r="F9" s="36"/>
      <c r="G9" s="5">
        <f>+H9/C3</f>
        <v>8500</v>
      </c>
      <c r="H9" s="7">
        <f>+C3*8500</f>
        <v>850000</v>
      </c>
      <c r="O9" s="8"/>
    </row>
    <row r="10" spans="1:15" ht="21" x14ac:dyDescent="0.4">
      <c r="A10" s="2" t="s">
        <v>34</v>
      </c>
      <c r="B10" s="2"/>
      <c r="C10" s="11">
        <f>+Recria!C11</f>
        <v>4000</v>
      </c>
      <c r="D10" s="39">
        <v>11000</v>
      </c>
      <c r="E10" s="62" t="s">
        <v>15</v>
      </c>
      <c r="F10" s="62"/>
      <c r="G10" s="10">
        <f>SUM(G4:G9)</f>
        <v>225619.99999999997</v>
      </c>
      <c r="H10" s="10">
        <f>+G10*$C$3</f>
        <v>22561999.999999996</v>
      </c>
      <c r="L10" s="35">
        <f>+G4+G5+G6</f>
        <v>249847.27272727271</v>
      </c>
      <c r="M10" s="33">
        <f>+G10+Recria!G10+Cria!G10</f>
        <v>426378.7412587413</v>
      </c>
    </row>
    <row r="11" spans="1:15" ht="20.399999999999999" x14ac:dyDescent="0.35">
      <c r="A11" s="2" t="s">
        <v>33</v>
      </c>
      <c r="B11" s="2"/>
      <c r="C11" s="11">
        <v>4200</v>
      </c>
      <c r="D11" s="39">
        <v>33000</v>
      </c>
      <c r="E11" s="12" t="s">
        <v>16</v>
      </c>
      <c r="F11" s="13"/>
      <c r="G11" s="13"/>
      <c r="H11" s="14">
        <f>H10/(G20+C3*C4*C10)/C8*365</f>
        <v>0.38763653727952446</v>
      </c>
    </row>
    <row r="12" spans="1:15" ht="20.399999999999999" x14ac:dyDescent="0.35">
      <c r="A12" s="2" t="s">
        <v>25</v>
      </c>
      <c r="B12" s="2"/>
      <c r="C12" s="37">
        <v>0.03</v>
      </c>
      <c r="D12" s="39"/>
      <c r="E12" s="38"/>
      <c r="F12" s="38"/>
      <c r="G12" s="38"/>
      <c r="H12" s="38"/>
    </row>
    <row r="13" spans="1:15" ht="20.399999999999999" x14ac:dyDescent="0.35">
      <c r="A13" s="38"/>
      <c r="B13" s="38"/>
      <c r="C13" s="38"/>
      <c r="D13" s="38"/>
      <c r="E13" s="38"/>
      <c r="F13" s="38"/>
      <c r="G13" s="38"/>
      <c r="H13" s="38"/>
    </row>
    <row r="14" spans="1:15" ht="21" x14ac:dyDescent="0.4">
      <c r="A14" s="15" t="s">
        <v>30</v>
      </c>
      <c r="B14" s="15"/>
      <c r="C14" s="15" t="s">
        <v>31</v>
      </c>
      <c r="D14" s="15" t="s">
        <v>17</v>
      </c>
      <c r="E14" s="15" t="s">
        <v>18</v>
      </c>
      <c r="F14" s="15" t="s">
        <v>19</v>
      </c>
      <c r="G14" s="15" t="s">
        <v>20</v>
      </c>
      <c r="H14" s="15" t="s">
        <v>21</v>
      </c>
    </row>
    <row r="15" spans="1:15" ht="20.399999999999999" x14ac:dyDescent="0.35">
      <c r="A15" s="2" t="s">
        <v>49</v>
      </c>
      <c r="B15" s="16">
        <v>80</v>
      </c>
      <c r="C15" s="17">
        <f>+B15/100</f>
        <v>0.8</v>
      </c>
      <c r="D15" s="18">
        <f>$C$6*$C$9*C15/0.88</f>
        <v>7.9090909090909092</v>
      </c>
      <c r="E15" s="3">
        <v>340000</v>
      </c>
      <c r="F15" s="18">
        <f>+D15*E15/1000</f>
        <v>2689.090909090909</v>
      </c>
      <c r="G15" s="19">
        <f t="shared" ref="G15:G20" si="0">+F15*$C$8*$C$3</f>
        <v>44003305.785123967</v>
      </c>
      <c r="H15" s="19">
        <f>+D15*$C$8*$C$3</f>
        <v>129421.48760330578</v>
      </c>
      <c r="I15" s="20">
        <v>90000</v>
      </c>
      <c r="J15" s="1">
        <f>18*3000</f>
        <v>54000</v>
      </c>
      <c r="K15" s="21">
        <f>SUM(I15:J15)</f>
        <v>144000</v>
      </c>
    </row>
    <row r="16" spans="1:15" ht="20.399999999999999" x14ac:dyDescent="0.35">
      <c r="A16" s="2" t="s">
        <v>48</v>
      </c>
      <c r="B16" s="16">
        <v>20</v>
      </c>
      <c r="C16" s="17">
        <f>+B16/100</f>
        <v>0.2</v>
      </c>
      <c r="D16" s="18">
        <f>$C$6*$C$9*C16/0.88</f>
        <v>1.9772727272727273</v>
      </c>
      <c r="E16" s="3">
        <v>180000</v>
      </c>
      <c r="F16" s="18">
        <f>+D16*E16/1000</f>
        <v>355.90909090909093</v>
      </c>
      <c r="G16" s="19">
        <f t="shared" si="0"/>
        <v>5823966.94214876</v>
      </c>
      <c r="H16" s="19">
        <f>+D16*$C$8*$C$3</f>
        <v>32355.371900826445</v>
      </c>
      <c r="I16" s="22"/>
      <c r="K16" s="21"/>
    </row>
    <row r="17" spans="1:11" ht="20.399999999999999" x14ac:dyDescent="0.35">
      <c r="A17" s="2"/>
      <c r="B17" s="16">
        <v>0</v>
      </c>
      <c r="C17" s="17">
        <f>+B17/100</f>
        <v>0</v>
      </c>
      <c r="D17" s="23">
        <f>$C$6*$C$9*C17/0.9</f>
        <v>0</v>
      </c>
      <c r="E17" s="3">
        <v>0</v>
      </c>
      <c r="F17" s="18">
        <f>+D17*E17/1000</f>
        <v>0</v>
      </c>
      <c r="G17" s="19">
        <f t="shared" si="0"/>
        <v>0</v>
      </c>
      <c r="H17" s="19">
        <f>+D17*$C$8*$C$3</f>
        <v>0</v>
      </c>
      <c r="I17" s="20">
        <v>76000</v>
      </c>
      <c r="J17" s="1">
        <f>65*3000</f>
        <v>195000</v>
      </c>
      <c r="K17" s="21">
        <f>SUM(I17:J17)</f>
        <v>271000</v>
      </c>
    </row>
    <row r="18" spans="1:11" ht="20.399999999999999" x14ac:dyDescent="0.35">
      <c r="A18" s="2"/>
      <c r="B18" s="24"/>
      <c r="C18" s="25">
        <v>0</v>
      </c>
      <c r="D18" s="23">
        <f>$C$6*$C$9*C18/0.9</f>
        <v>0</v>
      </c>
      <c r="E18" s="3">
        <v>0</v>
      </c>
      <c r="F18" s="23">
        <f>+D18*E18/1000</f>
        <v>0</v>
      </c>
      <c r="G18" s="19">
        <f t="shared" si="0"/>
        <v>0</v>
      </c>
      <c r="H18" s="19">
        <f>+D18*$C$8*$C$3</f>
        <v>0</v>
      </c>
      <c r="I18" s="22"/>
    </row>
    <row r="19" spans="1:11" ht="20.399999999999999" x14ac:dyDescent="0.35">
      <c r="A19" s="12" t="s">
        <v>23</v>
      </c>
      <c r="B19" s="16">
        <v>0</v>
      </c>
      <c r="C19" s="25">
        <f>+B19/100</f>
        <v>0</v>
      </c>
      <c r="D19" s="23">
        <f>$C$6*$C$9*C19/0.9</f>
        <v>0</v>
      </c>
      <c r="E19" s="7">
        <v>0</v>
      </c>
      <c r="F19" s="23">
        <f>+D19*E19/1000</f>
        <v>0</v>
      </c>
      <c r="G19" s="19">
        <f t="shared" si="0"/>
        <v>0</v>
      </c>
      <c r="H19" s="19">
        <f>+D19*$C$8*$C$3</f>
        <v>0</v>
      </c>
    </row>
    <row r="20" spans="1:11" ht="21" x14ac:dyDescent="0.4">
      <c r="A20" s="26" t="s">
        <v>24</v>
      </c>
      <c r="B20" s="27"/>
      <c r="C20" s="28">
        <f>SUM(C15:C19)</f>
        <v>1</v>
      </c>
      <c r="D20" s="29">
        <f>SUM(D15:D19)</f>
        <v>9.8863636363636367</v>
      </c>
      <c r="E20" s="30"/>
      <c r="F20" s="29">
        <f>SUM(F15:F19)</f>
        <v>3045</v>
      </c>
      <c r="G20" s="31">
        <f t="shared" si="0"/>
        <v>49827272.727272727</v>
      </c>
      <c r="H20" s="31">
        <f>SUM(H15:H19)</f>
        <v>161776.85950413224</v>
      </c>
      <c r="J20" s="1">
        <f>SUM(J15:J19)</f>
        <v>249000</v>
      </c>
    </row>
    <row r="21" spans="1:11" x14ac:dyDescent="0.3">
      <c r="F21" s="32"/>
      <c r="H21" s="33">
        <f>+H20/150</f>
        <v>1078.5123966942149</v>
      </c>
      <c r="J21" s="34">
        <f>+J20/D20</f>
        <v>25186.206896551725</v>
      </c>
    </row>
  </sheetData>
  <mergeCells count="8">
    <mergeCell ref="A1:H1"/>
    <mergeCell ref="E10:F10"/>
    <mergeCell ref="E3:F3"/>
    <mergeCell ref="E4:F4"/>
    <mergeCell ref="E5:F5"/>
    <mergeCell ref="E6:F6"/>
    <mergeCell ref="E7:F7"/>
    <mergeCell ref="E8:F8"/>
  </mergeCells>
  <pageMargins left="0.75" right="0.75" top="1" bottom="1" header="0" footer="0"/>
  <pageSetup paperSize="9" orientation="portrait" horizontalDpi="0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2</xdr:col>
                    <xdr:colOff>22860</xdr:colOff>
                    <xdr:row>3</xdr:row>
                    <xdr:rowOff>7620</xdr:rowOff>
                  </from>
                  <to>
                    <xdr:col>2</xdr:col>
                    <xdr:colOff>175260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pinner 2">
              <controlPr defaultSize="0" autoPict="0">
                <anchor moveWithCells="1" sizeWithCells="1">
                  <from>
                    <xdr:col>2</xdr:col>
                    <xdr:colOff>22860</xdr:colOff>
                    <xdr:row>4</xdr:row>
                    <xdr:rowOff>7620</xdr:rowOff>
                  </from>
                  <to>
                    <xdr:col>2</xdr:col>
                    <xdr:colOff>175260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Spinner 3">
              <controlPr defaultSize="0" autoPict="0">
                <anchor moveWithCells="1" sizeWithCells="1">
                  <from>
                    <xdr:col>2</xdr:col>
                    <xdr:colOff>22860</xdr:colOff>
                    <xdr:row>6</xdr:row>
                    <xdr:rowOff>7620</xdr:rowOff>
                  </from>
                  <to>
                    <xdr:col>2</xdr:col>
                    <xdr:colOff>175260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Spinner 4">
              <controlPr defaultSize="0" autoPict="0">
                <anchor moveWithCells="1" sizeWithCells="1">
                  <from>
                    <xdr:col>2</xdr:col>
                    <xdr:colOff>22860</xdr:colOff>
                    <xdr:row>9</xdr:row>
                    <xdr:rowOff>7620</xdr:rowOff>
                  </from>
                  <to>
                    <xdr:col>2</xdr:col>
                    <xdr:colOff>175260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Spinner 5">
              <controlPr defaultSize="0" autoPict="0">
                <anchor moveWithCells="1" sizeWithCells="1">
                  <from>
                    <xdr:col>2</xdr:col>
                    <xdr:colOff>22860</xdr:colOff>
                    <xdr:row>10</xdr:row>
                    <xdr:rowOff>7620</xdr:rowOff>
                  </from>
                  <to>
                    <xdr:col>2</xdr:col>
                    <xdr:colOff>175260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Spinner 6">
              <controlPr defaultSize="0" autoPict="0">
                <anchor moveWithCells="1" sizeWithCells="1">
                  <from>
                    <xdr:col>2</xdr:col>
                    <xdr:colOff>22860</xdr:colOff>
                    <xdr:row>14</xdr:row>
                    <xdr:rowOff>7620</xdr:rowOff>
                  </from>
                  <to>
                    <xdr:col>2</xdr:col>
                    <xdr:colOff>175260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Spinner 7">
              <controlPr defaultSize="0" autoPict="0">
                <anchor moveWithCells="1" sizeWithCells="1">
                  <from>
                    <xdr:col>2</xdr:col>
                    <xdr:colOff>22860</xdr:colOff>
                    <xdr:row>15</xdr:row>
                    <xdr:rowOff>7620</xdr:rowOff>
                  </from>
                  <to>
                    <xdr:col>2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Spinner 8">
              <controlPr defaultSize="0" autoPict="0">
                <anchor moveWithCells="1" sizeWithCells="1">
                  <from>
                    <xdr:col>2</xdr:col>
                    <xdr:colOff>22860</xdr:colOff>
                    <xdr:row>16</xdr:row>
                    <xdr:rowOff>7620</xdr:rowOff>
                  </from>
                  <to>
                    <xdr:col>2</xdr:col>
                    <xdr:colOff>175260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Spinner 9">
              <controlPr defaultSize="0" autoPict="0">
                <anchor moveWithCells="1" sizeWithCells="1">
                  <from>
                    <xdr:col>2</xdr:col>
                    <xdr:colOff>22860</xdr:colOff>
                    <xdr:row>15</xdr:row>
                    <xdr:rowOff>7620</xdr:rowOff>
                  </from>
                  <to>
                    <xdr:col>2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Spinner 10">
              <controlPr defaultSize="0" autoPict="0">
                <anchor moveWithCells="1" sizeWithCells="1">
                  <from>
                    <xdr:col>2</xdr:col>
                    <xdr:colOff>22860</xdr:colOff>
                    <xdr:row>16</xdr:row>
                    <xdr:rowOff>7620</xdr:rowOff>
                  </from>
                  <to>
                    <xdr:col>2</xdr:col>
                    <xdr:colOff>175260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Spinner 11">
              <controlPr defaultSize="0" autoPict="0">
                <anchor moveWithCells="1" sizeWithCells="1">
                  <from>
                    <xdr:col>2</xdr:col>
                    <xdr:colOff>22860</xdr:colOff>
                    <xdr:row>2</xdr:row>
                    <xdr:rowOff>7620</xdr:rowOff>
                  </from>
                  <to>
                    <xdr:col>2</xdr:col>
                    <xdr:colOff>175260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Spinner 12">
              <controlPr defaultSize="0" autoPict="0">
                <anchor moveWithCells="1" sizeWithCells="1">
                  <from>
                    <xdr:col>4</xdr:col>
                    <xdr:colOff>22860</xdr:colOff>
                    <xdr:row>14</xdr:row>
                    <xdr:rowOff>7620</xdr:rowOff>
                  </from>
                  <to>
                    <xdr:col>4</xdr:col>
                    <xdr:colOff>175260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Spinner 13">
              <controlPr defaultSize="0" autoPict="0">
                <anchor moveWithCells="1" sizeWithCells="1">
                  <from>
                    <xdr:col>4</xdr:col>
                    <xdr:colOff>22860</xdr:colOff>
                    <xdr:row>15</xdr:row>
                    <xdr:rowOff>7620</xdr:rowOff>
                  </from>
                  <to>
                    <xdr:col>4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Spinner 14">
              <controlPr defaultSize="0" autoPict="0">
                <anchor moveWithCells="1" sizeWithCells="1">
                  <from>
                    <xdr:col>4</xdr:col>
                    <xdr:colOff>22860</xdr:colOff>
                    <xdr:row>16</xdr:row>
                    <xdr:rowOff>7620</xdr:rowOff>
                  </from>
                  <to>
                    <xdr:col>4</xdr:col>
                    <xdr:colOff>175260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Spinner 15">
              <controlPr defaultSize="0" autoPict="0">
                <anchor moveWithCells="1" sizeWithCells="1">
                  <from>
                    <xdr:col>4</xdr:col>
                    <xdr:colOff>22860</xdr:colOff>
                    <xdr:row>18</xdr:row>
                    <xdr:rowOff>7620</xdr:rowOff>
                  </from>
                  <to>
                    <xdr:col>4</xdr:col>
                    <xdr:colOff>175260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Spinner 16">
              <controlPr defaultSize="0" autoPict="0">
                <anchor moveWithCells="1" sizeWithCells="1">
                  <from>
                    <xdr:col>1</xdr:col>
                    <xdr:colOff>0</xdr:colOff>
                    <xdr:row>18</xdr:row>
                    <xdr:rowOff>22860</xdr:rowOff>
                  </from>
                  <to>
                    <xdr:col>2</xdr:col>
                    <xdr:colOff>160020</xdr:colOff>
                    <xdr:row>18</xdr:row>
                    <xdr:rowOff>251460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zoomScale="90" zoomScaleNormal="90" workbookViewId="0">
      <selection activeCell="N14" sqref="N14"/>
    </sheetView>
  </sheetViews>
  <sheetFormatPr baseColWidth="10" defaultColWidth="11.44140625" defaultRowHeight="17.399999999999999" x14ac:dyDescent="0.3"/>
  <cols>
    <col min="1" max="1" width="31.33203125" style="1" customWidth="1"/>
    <col min="2" max="2" width="3.6640625" style="1" hidden="1" customWidth="1"/>
    <col min="3" max="3" width="14.33203125" style="1" customWidth="1"/>
    <col min="4" max="4" width="10.6640625" style="1" bestFit="1" customWidth="1"/>
    <col min="5" max="5" width="13.88671875" style="1" customWidth="1"/>
    <col min="6" max="6" width="13.44140625" style="1" customWidth="1"/>
    <col min="7" max="7" width="17" style="1" bestFit="1" customWidth="1"/>
    <col min="8" max="8" width="20" style="1" customWidth="1"/>
    <col min="9" max="9" width="15.44140625" style="1" hidden="1" customWidth="1"/>
    <col min="10" max="10" width="0" style="1" hidden="1" customWidth="1"/>
    <col min="11" max="11" width="18.6640625" style="1" hidden="1" customWidth="1"/>
    <col min="12" max="13" width="11.44140625" style="1"/>
    <col min="14" max="14" width="13.88671875" style="1" customWidth="1"/>
    <col min="15" max="15" width="19.5546875" style="1" bestFit="1" customWidth="1"/>
    <col min="16" max="16384" width="11.44140625" style="1"/>
  </cols>
  <sheetData>
    <row r="1" spans="1:17" ht="21" x14ac:dyDescent="0.4">
      <c r="A1" s="59" t="s">
        <v>36</v>
      </c>
      <c r="B1" s="59"/>
      <c r="C1" s="59"/>
      <c r="D1" s="59"/>
      <c r="E1" s="59"/>
      <c r="F1" s="59"/>
      <c r="G1" s="59"/>
      <c r="H1" s="59"/>
    </row>
    <row r="2" spans="1:17" ht="20.399999999999999" x14ac:dyDescent="0.35">
      <c r="A2" s="38"/>
      <c r="B2" s="38"/>
      <c r="C2" s="38"/>
      <c r="D2" s="38"/>
      <c r="E2" s="38"/>
      <c r="F2" s="38"/>
      <c r="G2" s="38"/>
      <c r="H2" s="38"/>
    </row>
    <row r="3" spans="1:17" ht="20.399999999999999" x14ac:dyDescent="0.35">
      <c r="A3" s="2" t="s">
        <v>1</v>
      </c>
      <c r="B3" s="2"/>
      <c r="C3" s="3">
        <v>100</v>
      </c>
      <c r="D3" s="38"/>
      <c r="E3" s="60"/>
      <c r="F3" s="60"/>
      <c r="G3" s="4" t="s">
        <v>2</v>
      </c>
      <c r="H3" s="2" t="s">
        <v>3</v>
      </c>
    </row>
    <row r="4" spans="1:17" ht="20.399999999999999" x14ac:dyDescent="0.35">
      <c r="A4" s="2" t="s">
        <v>4</v>
      </c>
      <c r="B4" s="2"/>
      <c r="C4" s="3">
        <f>+Recria!C5</f>
        <v>200</v>
      </c>
      <c r="D4" s="38"/>
      <c r="E4" s="57" t="s">
        <v>5</v>
      </c>
      <c r="F4" s="57"/>
      <c r="G4" s="2">
        <f>C5*C11*(1-C12)</f>
        <v>1955520</v>
      </c>
      <c r="H4" s="5">
        <f>+G4*$C$3</f>
        <v>195552000</v>
      </c>
      <c r="N4" s="33"/>
      <c r="O4" s="33"/>
      <c r="P4" s="33"/>
      <c r="Q4" s="33"/>
    </row>
    <row r="5" spans="1:17" ht="20.399999999999999" x14ac:dyDescent="0.35">
      <c r="A5" s="2" t="s">
        <v>6</v>
      </c>
      <c r="B5" s="2"/>
      <c r="C5" s="3">
        <v>480</v>
      </c>
      <c r="D5" s="38"/>
      <c r="E5" s="57" t="s">
        <v>7</v>
      </c>
      <c r="F5" s="57"/>
      <c r="G5" s="5">
        <f>-F22*C8</f>
        <v>-844977.27272727259</v>
      </c>
      <c r="H5" s="5">
        <f>+G5*$C$3</f>
        <v>-84497727.272727266</v>
      </c>
    </row>
    <row r="6" spans="1:17" ht="20.399999999999999" x14ac:dyDescent="0.35">
      <c r="A6" s="2" t="s">
        <v>8</v>
      </c>
      <c r="B6" s="2"/>
      <c r="C6" s="5">
        <f>(C5+C4)/2</f>
        <v>340</v>
      </c>
      <c r="D6" s="38"/>
      <c r="E6" s="57" t="s">
        <v>9</v>
      </c>
      <c r="F6" s="57"/>
      <c r="G6" s="2">
        <f>-C4*C10</f>
        <v>-800000</v>
      </c>
      <c r="H6" s="5">
        <f>+G6*$C$3</f>
        <v>-80000000</v>
      </c>
      <c r="J6" s="6">
        <v>39859</v>
      </c>
      <c r="K6" s="1">
        <v>95</v>
      </c>
    </row>
    <row r="7" spans="1:17" ht="20.399999999999999" x14ac:dyDescent="0.35">
      <c r="A7" s="2" t="s">
        <v>10</v>
      </c>
      <c r="B7" s="2"/>
      <c r="C7" s="3">
        <v>0.7</v>
      </c>
      <c r="D7" s="39">
        <v>12</v>
      </c>
      <c r="E7" s="57" t="s">
        <v>11</v>
      </c>
      <c r="F7" s="57"/>
      <c r="G7" s="5">
        <f>-H7/C3</f>
        <v>0</v>
      </c>
      <c r="H7" s="7"/>
      <c r="J7" s="6">
        <v>39892</v>
      </c>
      <c r="K7" s="1">
        <v>122</v>
      </c>
      <c r="O7" s="8"/>
    </row>
    <row r="8" spans="1:17" ht="20.399999999999999" x14ac:dyDescent="0.35">
      <c r="A8" s="2" t="s">
        <v>12</v>
      </c>
      <c r="B8" s="2"/>
      <c r="C8" s="5">
        <f>(C5-C4)/C7</f>
        <v>400</v>
      </c>
      <c r="D8" s="38"/>
      <c r="E8" s="57" t="s">
        <v>13</v>
      </c>
      <c r="F8" s="57"/>
      <c r="G8" s="5">
        <f>H8/C3</f>
        <v>-80000</v>
      </c>
      <c r="H8" s="7">
        <f>1200000/30/2*C8*-1</f>
        <v>-8000000</v>
      </c>
      <c r="K8" s="1">
        <f>+(K7-K6)/(J7-J6)</f>
        <v>0.81818181818181823</v>
      </c>
    </row>
    <row r="9" spans="1:17" ht="20.399999999999999" x14ac:dyDescent="0.35">
      <c r="A9" s="2" t="s">
        <v>14</v>
      </c>
      <c r="B9" s="2"/>
      <c r="C9" s="9">
        <v>0.03</v>
      </c>
      <c r="D9" s="39">
        <v>28</v>
      </c>
      <c r="E9" s="36" t="s">
        <v>26</v>
      </c>
      <c r="F9" s="36"/>
      <c r="G9" s="5">
        <f>+H9/C3</f>
        <v>-5000</v>
      </c>
      <c r="H9" s="7">
        <f>-5000*C3</f>
        <v>-500000</v>
      </c>
      <c r="N9" s="33"/>
      <c r="O9" s="33"/>
    </row>
    <row r="10" spans="1:17" ht="21" x14ac:dyDescent="0.4">
      <c r="A10" s="2" t="s">
        <v>34</v>
      </c>
      <c r="B10" s="2"/>
      <c r="C10" s="11">
        <f>+Recria!C11</f>
        <v>4000</v>
      </c>
      <c r="D10" s="39">
        <v>141</v>
      </c>
      <c r="E10" s="62" t="s">
        <v>15</v>
      </c>
      <c r="F10" s="62"/>
      <c r="G10" s="10">
        <f>SUM(G4:G9)</f>
        <v>225542.72727272753</v>
      </c>
      <c r="H10" s="10">
        <f>+G10*$C$3</f>
        <v>22554272.727272753</v>
      </c>
      <c r="L10" s="35"/>
      <c r="N10" s="33"/>
      <c r="O10" s="33"/>
    </row>
    <row r="11" spans="1:17" ht="20.399999999999999" x14ac:dyDescent="0.35">
      <c r="A11" s="2" t="s">
        <v>33</v>
      </c>
      <c r="B11" s="2"/>
      <c r="C11" s="11">
        <v>4200</v>
      </c>
      <c r="D11" s="41">
        <v>35000</v>
      </c>
      <c r="E11" s="12" t="s">
        <v>16</v>
      </c>
      <c r="F11" s="13"/>
      <c r="G11" s="13"/>
      <c r="H11" s="14">
        <f>H10/(G22+C3*C4*C10)/C8*365</f>
        <v>0.12511281587200726</v>
      </c>
      <c r="N11" s="33"/>
      <c r="O11" s="33"/>
    </row>
    <row r="12" spans="1:17" ht="20.399999999999999" x14ac:dyDescent="0.35">
      <c r="A12" s="2" t="s">
        <v>25</v>
      </c>
      <c r="B12" s="2"/>
      <c r="C12" s="37">
        <v>0.03</v>
      </c>
      <c r="D12" s="39"/>
      <c r="E12" s="38"/>
      <c r="F12" s="38"/>
      <c r="G12" s="38"/>
      <c r="H12" s="38"/>
      <c r="N12" s="33"/>
      <c r="O12" s="33"/>
    </row>
    <row r="13" spans="1:17" ht="20.399999999999999" x14ac:dyDescent="0.35">
      <c r="A13" s="38"/>
      <c r="B13" s="38"/>
      <c r="C13" s="38"/>
      <c r="D13" s="38"/>
      <c r="E13" s="38"/>
      <c r="F13" s="38"/>
      <c r="G13" s="38"/>
      <c r="H13" s="38"/>
      <c r="M13" s="40"/>
      <c r="N13" s="33"/>
      <c r="O13" s="33"/>
      <c r="P13" s="33"/>
    </row>
    <row r="14" spans="1:17" ht="21" x14ac:dyDescent="0.4">
      <c r="A14" s="15" t="s">
        <v>30</v>
      </c>
      <c r="B14" s="15"/>
      <c r="C14" s="15" t="s">
        <v>31</v>
      </c>
      <c r="D14" s="15" t="s">
        <v>17</v>
      </c>
      <c r="E14" s="15" t="s">
        <v>18</v>
      </c>
      <c r="F14" s="15" t="s">
        <v>19</v>
      </c>
      <c r="G14" s="15" t="s">
        <v>20</v>
      </c>
      <c r="H14" s="15" t="s">
        <v>21</v>
      </c>
      <c r="P14" s="33"/>
    </row>
    <row r="15" spans="1:17" ht="20.399999999999999" x14ac:dyDescent="0.35">
      <c r="A15" s="2" t="s">
        <v>22</v>
      </c>
      <c r="B15" s="16">
        <v>0</v>
      </c>
      <c r="C15" s="17">
        <v>0.25</v>
      </c>
      <c r="D15" s="18">
        <f>$C$6*$C$9*C15/0.88</f>
        <v>2.8977272727272725</v>
      </c>
      <c r="E15" s="3">
        <v>260000</v>
      </c>
      <c r="F15" s="18">
        <f t="shared" ref="F15:F21" si="0">+D15*E15/1000</f>
        <v>753.40909090909088</v>
      </c>
      <c r="G15" s="19">
        <f t="shared" ref="G15:G22" si="1">+F15*$C$8*$C$3</f>
        <v>30136363.636363637</v>
      </c>
      <c r="H15" s="19">
        <f t="shared" ref="H15:H21" si="2">+D15*$C$8*$C$3</f>
        <v>115909.0909090909</v>
      </c>
      <c r="I15" s="22"/>
      <c r="K15" s="21"/>
    </row>
    <row r="16" spans="1:17" ht="20.399999999999999" x14ac:dyDescent="0.35">
      <c r="A16" s="2" t="s">
        <v>37</v>
      </c>
      <c r="B16" s="16">
        <v>25</v>
      </c>
      <c r="C16" s="17">
        <f t="shared" ref="C16:C21" si="3">+B16/100</f>
        <v>0.25</v>
      </c>
      <c r="D16" s="23">
        <f>$C$6*$C$9*C16/0.9</f>
        <v>2.833333333333333</v>
      </c>
      <c r="E16" s="3">
        <v>180000</v>
      </c>
      <c r="F16" s="18">
        <f t="shared" si="0"/>
        <v>509.99999999999994</v>
      </c>
      <c r="G16" s="19">
        <f t="shared" si="1"/>
        <v>20399999.999999996</v>
      </c>
      <c r="H16" s="19">
        <f t="shared" si="2"/>
        <v>113333.33333333333</v>
      </c>
      <c r="I16" s="20">
        <v>76000</v>
      </c>
      <c r="J16" s="1">
        <f>65*3000</f>
        <v>195000</v>
      </c>
      <c r="K16" s="21">
        <f>SUM(I16:J16)</f>
        <v>271000</v>
      </c>
    </row>
    <row r="17" spans="1:11" ht="20.399999999999999" x14ac:dyDescent="0.35">
      <c r="A17" s="2" t="s">
        <v>38</v>
      </c>
      <c r="B17" s="16">
        <v>65</v>
      </c>
      <c r="C17" s="17">
        <f t="shared" si="3"/>
        <v>0.65</v>
      </c>
      <c r="D17" s="18">
        <f>$C$6*$C$9*C17/0.88</f>
        <v>7.5340909090909092</v>
      </c>
      <c r="E17" s="3">
        <f>85*1000</f>
        <v>85000</v>
      </c>
      <c r="F17" s="18">
        <f t="shared" si="0"/>
        <v>640.39772727272725</v>
      </c>
      <c r="G17" s="19">
        <f>+F17*$C$8*$C$3</f>
        <v>25615909.09090909</v>
      </c>
      <c r="H17" s="19">
        <f t="shared" si="2"/>
        <v>301363.63636363635</v>
      </c>
      <c r="I17" s="20">
        <v>90000</v>
      </c>
      <c r="J17" s="1">
        <f>18*3000</f>
        <v>54000</v>
      </c>
      <c r="K17" s="21">
        <f>SUM(I17:J17)</f>
        <v>144000</v>
      </c>
    </row>
    <row r="18" spans="1:11" ht="20.399999999999999" x14ac:dyDescent="0.35">
      <c r="A18" s="2" t="s">
        <v>39</v>
      </c>
      <c r="B18" s="16">
        <v>10</v>
      </c>
      <c r="C18" s="17">
        <f t="shared" si="3"/>
        <v>0.1</v>
      </c>
      <c r="D18" s="18">
        <f>$C$6*$C$9*C18/0.88</f>
        <v>1.1590909090909092</v>
      </c>
      <c r="E18" s="3">
        <v>180000</v>
      </c>
      <c r="F18" s="18">
        <f t="shared" si="0"/>
        <v>208.63636363636365</v>
      </c>
      <c r="G18" s="19">
        <f t="shared" si="1"/>
        <v>8345454.5454545459</v>
      </c>
      <c r="H18" s="19">
        <f t="shared" si="2"/>
        <v>46363.636363636368</v>
      </c>
      <c r="I18" s="22"/>
      <c r="K18" s="21"/>
    </row>
    <row r="19" spans="1:11" ht="20.399999999999999" x14ac:dyDescent="0.35">
      <c r="B19" s="16">
        <v>0</v>
      </c>
      <c r="C19" s="17">
        <f t="shared" si="3"/>
        <v>0</v>
      </c>
      <c r="D19" s="23">
        <f>$C$6*$C$9*C19/0.9</f>
        <v>0</v>
      </c>
      <c r="E19" s="3">
        <v>0</v>
      </c>
      <c r="F19" s="18">
        <f t="shared" si="0"/>
        <v>0</v>
      </c>
      <c r="G19" s="19">
        <f t="shared" si="1"/>
        <v>0</v>
      </c>
      <c r="H19" s="19">
        <f t="shared" si="2"/>
        <v>0</v>
      </c>
      <c r="I19" s="20">
        <v>76000</v>
      </c>
      <c r="J19" s="1">
        <f>65*3000</f>
        <v>195000</v>
      </c>
      <c r="K19" s="21">
        <f>SUM(I19:J19)</f>
        <v>271000</v>
      </c>
    </row>
    <row r="20" spans="1:11" ht="20.399999999999999" x14ac:dyDescent="0.35">
      <c r="A20" s="12"/>
      <c r="B20" s="16">
        <v>0</v>
      </c>
      <c r="C20" s="25">
        <f t="shared" si="3"/>
        <v>0</v>
      </c>
      <c r="D20" s="23">
        <f>$C$6*$C$9*C20/0.9</f>
        <v>0</v>
      </c>
      <c r="E20" s="7">
        <v>0</v>
      </c>
      <c r="F20" s="23">
        <f t="shared" si="0"/>
        <v>0</v>
      </c>
      <c r="G20" s="19">
        <f t="shared" si="1"/>
        <v>0</v>
      </c>
      <c r="H20" s="19">
        <f t="shared" si="2"/>
        <v>0</v>
      </c>
    </row>
    <row r="21" spans="1:11" ht="20.399999999999999" x14ac:dyDescent="0.35">
      <c r="A21" s="12"/>
      <c r="B21" s="16">
        <v>0</v>
      </c>
      <c r="C21" s="25">
        <f t="shared" si="3"/>
        <v>0</v>
      </c>
      <c r="D21" s="23">
        <f>$C$6*$C$9*C21/0.9</f>
        <v>0</v>
      </c>
      <c r="E21" s="7">
        <v>0</v>
      </c>
      <c r="F21" s="23">
        <f t="shared" si="0"/>
        <v>0</v>
      </c>
      <c r="G21" s="19">
        <f t="shared" si="1"/>
        <v>0</v>
      </c>
      <c r="H21" s="19">
        <f t="shared" si="2"/>
        <v>0</v>
      </c>
    </row>
    <row r="22" spans="1:11" ht="21" x14ac:dyDescent="0.4">
      <c r="A22" s="26" t="s">
        <v>24</v>
      </c>
      <c r="B22" s="27"/>
      <c r="C22" s="28">
        <f>SUM(C15:C21)</f>
        <v>1.25</v>
      </c>
      <c r="D22" s="29">
        <f>SUM(D15:D21)</f>
        <v>14.424242424242426</v>
      </c>
      <c r="E22" s="30"/>
      <c r="F22" s="29">
        <f>SUM(F15:F21)</f>
        <v>2112.4431818181815</v>
      </c>
      <c r="G22" s="31">
        <f t="shared" si="1"/>
        <v>84497727.272727266</v>
      </c>
      <c r="H22" s="31">
        <f>SUM(H15:H21)</f>
        <v>576969.6969696969</v>
      </c>
      <c r="J22" s="1">
        <f>SUM(J15:J21)</f>
        <v>444000</v>
      </c>
    </row>
    <row r="23" spans="1:11" x14ac:dyDescent="0.3">
      <c r="F23" s="32"/>
      <c r="H23" s="33"/>
      <c r="J23" s="34">
        <f>+J22/D22</f>
        <v>30781.512605042015</v>
      </c>
    </row>
  </sheetData>
  <mergeCells count="8">
    <mergeCell ref="E8:F8"/>
    <mergeCell ref="E10:F10"/>
    <mergeCell ref="A1:H1"/>
    <mergeCell ref="E3:F3"/>
    <mergeCell ref="E4:F4"/>
    <mergeCell ref="E5:F5"/>
    <mergeCell ref="E6:F6"/>
    <mergeCell ref="E7:F7"/>
  </mergeCells>
  <pageMargins left="0.75" right="0.75" top="1" bottom="1" header="0" footer="0"/>
  <pageSetup paperSize="9" orientation="portrait" horizontalDpi="0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Spinner 1">
              <controlPr defaultSize="0" autoPict="0">
                <anchor moveWithCells="1" sizeWithCells="1">
                  <from>
                    <xdr:col>2</xdr:col>
                    <xdr:colOff>22860</xdr:colOff>
                    <xdr:row>3</xdr:row>
                    <xdr:rowOff>7620</xdr:rowOff>
                  </from>
                  <to>
                    <xdr:col>2</xdr:col>
                    <xdr:colOff>175260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Spinner 2">
              <controlPr defaultSize="0" autoPict="0">
                <anchor moveWithCells="1" sizeWithCells="1">
                  <from>
                    <xdr:col>2</xdr:col>
                    <xdr:colOff>22860</xdr:colOff>
                    <xdr:row>4</xdr:row>
                    <xdr:rowOff>7620</xdr:rowOff>
                  </from>
                  <to>
                    <xdr:col>2</xdr:col>
                    <xdr:colOff>175260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Spinner 3">
              <controlPr defaultSize="0" autoPict="0">
                <anchor moveWithCells="1" sizeWithCells="1">
                  <from>
                    <xdr:col>2</xdr:col>
                    <xdr:colOff>22860</xdr:colOff>
                    <xdr:row>6</xdr:row>
                    <xdr:rowOff>7620</xdr:rowOff>
                  </from>
                  <to>
                    <xdr:col>2</xdr:col>
                    <xdr:colOff>175260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Spinner 4">
              <controlPr defaultSize="0" autoPict="0">
                <anchor moveWithCells="1" sizeWithCells="1">
                  <from>
                    <xdr:col>2</xdr:col>
                    <xdr:colOff>22860</xdr:colOff>
                    <xdr:row>9</xdr:row>
                    <xdr:rowOff>7620</xdr:rowOff>
                  </from>
                  <to>
                    <xdr:col>2</xdr:col>
                    <xdr:colOff>175260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Spinner 5">
              <controlPr defaultSize="0" autoPict="0">
                <anchor moveWithCells="1" sizeWithCells="1">
                  <from>
                    <xdr:col>2</xdr:col>
                    <xdr:colOff>22860</xdr:colOff>
                    <xdr:row>10</xdr:row>
                    <xdr:rowOff>7620</xdr:rowOff>
                  </from>
                  <to>
                    <xdr:col>2</xdr:col>
                    <xdr:colOff>175260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Spinner 6">
              <controlPr defaultSize="0" autoPict="0">
                <anchor moveWithCells="1" sizeWithCells="1">
                  <from>
                    <xdr:col>2</xdr:col>
                    <xdr:colOff>22860</xdr:colOff>
                    <xdr:row>14</xdr:row>
                    <xdr:rowOff>0</xdr:rowOff>
                  </from>
                  <to>
                    <xdr:col>2</xdr:col>
                    <xdr:colOff>175260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Spinner 7">
              <controlPr defaultSize="0" autoPict="0">
                <anchor moveWithCells="1" sizeWithCells="1">
                  <from>
                    <xdr:col>2</xdr:col>
                    <xdr:colOff>22860</xdr:colOff>
                    <xdr:row>14</xdr:row>
                    <xdr:rowOff>7620</xdr:rowOff>
                  </from>
                  <to>
                    <xdr:col>2</xdr:col>
                    <xdr:colOff>175260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Spinner 8">
              <controlPr defaultSize="0" autoPict="0">
                <anchor moveWithCells="1" sizeWithCells="1">
                  <from>
                    <xdr:col>2</xdr:col>
                    <xdr:colOff>22860</xdr:colOff>
                    <xdr:row>15</xdr:row>
                    <xdr:rowOff>7620</xdr:rowOff>
                  </from>
                  <to>
                    <xdr:col>2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Spinner 9">
              <controlPr defaultSize="0" autoPict="0">
                <anchor moveWithCells="1" sizeWithCells="1">
                  <from>
                    <xdr:col>2</xdr:col>
                    <xdr:colOff>22860</xdr:colOff>
                    <xdr:row>14</xdr:row>
                    <xdr:rowOff>7620</xdr:rowOff>
                  </from>
                  <to>
                    <xdr:col>2</xdr:col>
                    <xdr:colOff>175260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Spinner 10">
              <controlPr defaultSize="0" autoPict="0">
                <anchor moveWithCells="1" sizeWithCells="1">
                  <from>
                    <xdr:col>2</xdr:col>
                    <xdr:colOff>22860</xdr:colOff>
                    <xdr:row>15</xdr:row>
                    <xdr:rowOff>7620</xdr:rowOff>
                  </from>
                  <to>
                    <xdr:col>2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Spinner 11">
              <controlPr defaultSize="0" autoPict="0">
                <anchor moveWithCells="1" sizeWithCells="1">
                  <from>
                    <xdr:col>2</xdr:col>
                    <xdr:colOff>22860</xdr:colOff>
                    <xdr:row>2</xdr:row>
                    <xdr:rowOff>7620</xdr:rowOff>
                  </from>
                  <to>
                    <xdr:col>2</xdr:col>
                    <xdr:colOff>175260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Spinner 12">
              <controlPr defaultSize="0" autoPict="0">
                <anchor moveWithCells="1" sizeWithCells="1">
                  <from>
                    <xdr:col>4</xdr:col>
                    <xdr:colOff>22860</xdr:colOff>
                    <xdr:row>14</xdr:row>
                    <xdr:rowOff>0</xdr:rowOff>
                  </from>
                  <to>
                    <xdr:col>4</xdr:col>
                    <xdr:colOff>175260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Spinner 13">
              <controlPr defaultSize="0" autoPict="0">
                <anchor moveWithCells="1" sizeWithCells="1">
                  <from>
                    <xdr:col>4</xdr:col>
                    <xdr:colOff>22860</xdr:colOff>
                    <xdr:row>14</xdr:row>
                    <xdr:rowOff>7620</xdr:rowOff>
                  </from>
                  <to>
                    <xdr:col>4</xdr:col>
                    <xdr:colOff>175260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Spinner 14">
              <controlPr defaultSize="0" autoPict="0">
                <anchor moveWithCells="1" sizeWithCells="1">
                  <from>
                    <xdr:col>4</xdr:col>
                    <xdr:colOff>22860</xdr:colOff>
                    <xdr:row>15</xdr:row>
                    <xdr:rowOff>7620</xdr:rowOff>
                  </from>
                  <to>
                    <xdr:col>4</xdr:col>
                    <xdr:colOff>175260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Spinner 15">
              <controlPr defaultSize="0" autoPict="0">
                <anchor moveWithCells="1" sizeWithCells="1">
                  <from>
                    <xdr:col>4</xdr:col>
                    <xdr:colOff>22860</xdr:colOff>
                    <xdr:row>20</xdr:row>
                    <xdr:rowOff>7620</xdr:rowOff>
                  </from>
                  <to>
                    <xdr:col>4</xdr:col>
                    <xdr:colOff>175260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Spinner 16">
              <controlPr defaultSize="0" autoPict="0">
                <anchor moveWithCells="1" sizeWithCells="1">
                  <from>
                    <xdr:col>1</xdr:col>
                    <xdr:colOff>0</xdr:colOff>
                    <xdr:row>20</xdr:row>
                    <xdr:rowOff>22860</xdr:rowOff>
                  </from>
                  <to>
                    <xdr:col>2</xdr:col>
                    <xdr:colOff>160020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Spinner 17">
              <controlPr defaultSize="0" autoPict="0">
                <anchor moveWithCells="1" sizeWithCells="1">
                  <from>
                    <xdr:col>2</xdr:col>
                    <xdr:colOff>22860</xdr:colOff>
                    <xdr:row>16</xdr:row>
                    <xdr:rowOff>7620</xdr:rowOff>
                  </from>
                  <to>
                    <xdr:col>2</xdr:col>
                    <xdr:colOff>175260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Spinner 18">
              <controlPr defaultSize="0" autoPict="0">
                <anchor moveWithCells="1" sizeWithCells="1">
                  <from>
                    <xdr:col>2</xdr:col>
                    <xdr:colOff>22860</xdr:colOff>
                    <xdr:row>17</xdr:row>
                    <xdr:rowOff>7620</xdr:rowOff>
                  </from>
                  <to>
                    <xdr:col>2</xdr:col>
                    <xdr:colOff>175260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Spinner 19">
              <controlPr defaultSize="0" autoPict="0">
                <anchor moveWithCells="1" sizeWithCells="1">
                  <from>
                    <xdr:col>2</xdr:col>
                    <xdr:colOff>22860</xdr:colOff>
                    <xdr:row>18</xdr:row>
                    <xdr:rowOff>7620</xdr:rowOff>
                  </from>
                  <to>
                    <xdr:col>2</xdr:col>
                    <xdr:colOff>175260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Spinner 20">
              <controlPr defaultSize="0" autoPict="0">
                <anchor moveWithCells="1" sizeWithCells="1">
                  <from>
                    <xdr:col>2</xdr:col>
                    <xdr:colOff>22860</xdr:colOff>
                    <xdr:row>17</xdr:row>
                    <xdr:rowOff>7620</xdr:rowOff>
                  </from>
                  <to>
                    <xdr:col>2</xdr:col>
                    <xdr:colOff>175260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Spinner 21">
              <controlPr defaultSize="0" autoPict="0">
                <anchor moveWithCells="1" sizeWithCells="1">
                  <from>
                    <xdr:col>2</xdr:col>
                    <xdr:colOff>22860</xdr:colOff>
                    <xdr:row>18</xdr:row>
                    <xdr:rowOff>7620</xdr:rowOff>
                  </from>
                  <to>
                    <xdr:col>2</xdr:col>
                    <xdr:colOff>175260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Spinner 22">
              <controlPr defaultSize="0" autoPict="0">
                <anchor moveWithCells="1" sizeWithCells="1">
                  <from>
                    <xdr:col>4</xdr:col>
                    <xdr:colOff>22860</xdr:colOff>
                    <xdr:row>16</xdr:row>
                    <xdr:rowOff>7620</xdr:rowOff>
                  </from>
                  <to>
                    <xdr:col>4</xdr:col>
                    <xdr:colOff>175260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Spinner 23">
              <controlPr defaultSize="0" autoPict="0">
                <anchor moveWithCells="1" sizeWithCells="1">
                  <from>
                    <xdr:col>4</xdr:col>
                    <xdr:colOff>22860</xdr:colOff>
                    <xdr:row>17</xdr:row>
                    <xdr:rowOff>7620</xdr:rowOff>
                  </from>
                  <to>
                    <xdr:col>4</xdr:col>
                    <xdr:colOff>175260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7" name="Spinner 24">
              <controlPr defaultSize="0" autoPict="0">
                <anchor moveWithCells="1" sizeWithCells="1">
                  <from>
                    <xdr:col>4</xdr:col>
                    <xdr:colOff>22860</xdr:colOff>
                    <xdr:row>18</xdr:row>
                    <xdr:rowOff>7620</xdr:rowOff>
                  </from>
                  <to>
                    <xdr:col>4</xdr:col>
                    <xdr:colOff>175260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8" name="Spinner 25">
              <controlPr defaultSize="0" autoPict="0">
                <anchor moveWithCells="1" sizeWithCells="1">
                  <from>
                    <xdr:col>4</xdr:col>
                    <xdr:colOff>22860</xdr:colOff>
                    <xdr:row>19</xdr:row>
                    <xdr:rowOff>7620</xdr:rowOff>
                  </from>
                  <to>
                    <xdr:col>4</xdr:col>
                    <xdr:colOff>175260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9" name="Spinner 26">
              <controlPr defaultSize="0" autoPict="0">
                <anchor moveWithCells="1" sizeWithCells="1">
                  <from>
                    <xdr:col>1</xdr:col>
                    <xdr:colOff>0</xdr:colOff>
                    <xdr:row>19</xdr:row>
                    <xdr:rowOff>0</xdr:rowOff>
                  </from>
                  <to>
                    <xdr:col>2</xdr:col>
                    <xdr:colOff>144780</xdr:colOff>
                    <xdr:row>19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30" name="Spinner 27">
              <controlPr defaultSize="0" autoPict="0">
                <anchor moveWithCells="1" sizeWithCells="1">
                  <from>
                    <xdr:col>2</xdr:col>
                    <xdr:colOff>22860</xdr:colOff>
                    <xdr:row>18</xdr:row>
                    <xdr:rowOff>7620</xdr:rowOff>
                  </from>
                  <to>
                    <xdr:col>2</xdr:col>
                    <xdr:colOff>175260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31" name="Spinner 28">
              <controlPr defaultSize="0" autoPict="0">
                <anchor moveWithCells="1" sizeWithCells="1">
                  <from>
                    <xdr:col>2</xdr:col>
                    <xdr:colOff>22860</xdr:colOff>
                    <xdr:row>18</xdr:row>
                    <xdr:rowOff>7620</xdr:rowOff>
                  </from>
                  <to>
                    <xdr:col>2</xdr:col>
                    <xdr:colOff>175260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32" name="Spinner 29">
              <controlPr defaultSize="0" autoPict="0">
                <anchor moveWithCells="1" sizeWithCells="1">
                  <from>
                    <xdr:col>2</xdr:col>
                    <xdr:colOff>22860</xdr:colOff>
                    <xdr:row>10</xdr:row>
                    <xdr:rowOff>7620</xdr:rowOff>
                  </from>
                  <to>
                    <xdr:col>2</xdr:col>
                    <xdr:colOff>175260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Cria</vt:lpstr>
      <vt:lpstr>Recria</vt:lpstr>
      <vt:lpstr>Engorde a corral</vt:lpstr>
      <vt:lpstr>Terminacion exportacion</vt:lpstr>
    </vt:vector>
  </TitlesOfParts>
  <Company>Wolf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Wolf</dc:creator>
  <cp:lastModifiedBy>chofi</cp:lastModifiedBy>
  <dcterms:created xsi:type="dcterms:W3CDTF">2010-04-20T22:53:54Z</dcterms:created>
  <dcterms:modified xsi:type="dcterms:W3CDTF">2026-05-08T00:37:55Z</dcterms:modified>
</cp:coreProperties>
</file>